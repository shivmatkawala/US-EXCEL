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aba39dbce5c58863/Documents/"/>
    </mc:Choice>
  </mc:AlternateContent>
  <xr:revisionPtr revIDLastSave="749" documentId="8_{FF4C202F-D9C3-4FF1-88C8-C72CDBE82CC3}" xr6:coauthVersionLast="47" xr6:coauthVersionMax="47" xr10:uidLastSave="{166EA076-97F9-46EC-9F50-633890713DF5}"/>
  <bookViews>
    <workbookView xWindow="-110" yWindow="-110" windowWidth="19420" windowHeight="11500" firstSheet="2" activeTab="3" xr2:uid="{794C80EF-1C74-4741-8C83-19371383A6AB}"/>
  </bookViews>
  <sheets>
    <sheet name="HR_ANALYTICS_1" sheetId="1" r:id="rId1"/>
    <sheet name="HR_ANALYTICS_2" sheetId="4" r:id="rId2"/>
    <sheet name="HR_ANALYTICS_3" sheetId="5" r:id="rId3"/>
    <sheet name="HR_ANALYTICS_4" sheetId="6" r:id="rId4"/>
    <sheet name="HR_ANALYTICS_5" sheetId="8" r:id="rId5"/>
    <sheet name="FORMULAE_PRACTICE_1" sheetId="7" r:id="rId6"/>
  </sheets>
  <definedNames>
    <definedName name="_xlchart.v1.0" hidden="1">HR_ANALYTICS_5!$B$14:$B$17</definedName>
    <definedName name="_xlchart.v1.1" hidden="1">HR_ANALYTICS_5!$C$13</definedName>
    <definedName name="_xlchart.v1.2" hidden="1">HR_ANALYTICS_5!$C$14:$C$17</definedName>
    <definedName name="Slicer_City">#N/A</definedName>
    <definedName name="Slicer_City1">#N/A</definedName>
    <definedName name="Slicer_Department">#N/A</definedName>
    <definedName name="Slicer_Joining_Year">#N/A</definedName>
    <definedName name="Slicer_Name">#N/A</definedName>
    <definedName name="Slicer_Sales">#N/A</definedName>
  </definedNames>
  <calcPr calcId="191029"/>
  <pivotCaches>
    <pivotCache cacheId="26"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 i="6" l="1"/>
  <c r="M6" i="6"/>
  <c r="M7" i="6"/>
  <c r="M8" i="6"/>
  <c r="M9" i="6"/>
  <c r="M10" i="6"/>
  <c r="M11" i="6"/>
  <c r="M12" i="6"/>
  <c r="M13" i="6"/>
  <c r="M14" i="6"/>
  <c r="M15" i="6"/>
  <c r="M16" i="6"/>
  <c r="M17" i="6"/>
  <c r="M18" i="6"/>
  <c r="M19" i="6"/>
  <c r="M20" i="6"/>
  <c r="M21" i="6"/>
  <c r="M22" i="6"/>
  <c r="M23" i="6"/>
  <c r="M24" i="6"/>
  <c r="F20" i="8"/>
  <c r="C22" i="8"/>
  <c r="C23" i="8"/>
  <c r="C24" i="8"/>
  <c r="C21" i="8"/>
  <c r="C15" i="8"/>
  <c r="C16" i="8"/>
  <c r="C17" i="8"/>
  <c r="C14" i="8"/>
  <c r="G2" i="8" a="1"/>
  <c r="F2" i="8"/>
  <c r="F22" i="8" s="1"/>
  <c r="G3" i="8" a="1"/>
  <c r="F15" i="8" s="1"/>
  <c r="G4" i="8" a="1"/>
  <c r="G5" i="8" a="1"/>
  <c r="G6" i="8" a="1"/>
  <c r="G7" i="8" a="1"/>
  <c r="G8" i="8" a="1"/>
  <c r="G9" i="8" a="1"/>
  <c r="F3" i="8"/>
  <c r="F21" i="8" s="1"/>
  <c r="F4" i="8"/>
  <c r="F23" i="8" s="1"/>
  <c r="F5" i="8"/>
  <c r="F6" i="8"/>
  <c r="F7" i="8"/>
  <c r="F8" i="8"/>
  <c r="F9" i="8"/>
  <c r="K17" i="7"/>
  <c r="H25" i="7"/>
  <c r="I25" i="7" s="1"/>
  <c r="I18" i="7"/>
  <c r="I19" i="7"/>
  <c r="I20" i="7"/>
  <c r="I21" i="7"/>
  <c r="I22" i="7"/>
  <c r="I23" i="7"/>
  <c r="I24" i="7"/>
  <c r="I17" i="7"/>
  <c r="F2" i="7"/>
  <c r="B48" i="7" s="1" a="1"/>
  <c r="C46" i="7" a="1"/>
  <c r="B46" i="7"/>
  <c r="C44" i="7"/>
  <c r="D44" i="7"/>
  <c r="E44" i="7"/>
  <c r="F44" i="7"/>
  <c r="B44" i="7"/>
  <c r="C43" i="7"/>
  <c r="D43" i="7"/>
  <c r="E43" i="7"/>
  <c r="F43" i="7"/>
  <c r="B43" i="7"/>
  <c r="C42" i="7"/>
  <c r="D42" i="7"/>
  <c r="E42" i="7"/>
  <c r="F42" i="7"/>
  <c r="B42" i="7"/>
  <c r="C41" i="7"/>
  <c r="D41" i="7"/>
  <c r="E41" i="7"/>
  <c r="F41" i="7"/>
  <c r="B41" i="7"/>
  <c r="C35" i="7"/>
  <c r="D28" i="7"/>
  <c r="C38" i="7" s="1"/>
  <c r="D27" i="7"/>
  <c r="F24" i="7"/>
  <c r="F22" i="7"/>
  <c r="F21" i="7"/>
  <c r="F20" i="7"/>
  <c r="F19" i="7"/>
  <c r="F18" i="7"/>
  <c r="F17" i="7"/>
  <c r="F16" i="7"/>
  <c r="F15" i="7"/>
  <c r="F14" i="7"/>
  <c r="F7" i="7"/>
  <c r="F5" i="7"/>
  <c r="F6" i="7" s="1"/>
  <c r="F4" i="7"/>
  <c r="F3" i="7"/>
  <c r="E4" i="5"/>
  <c r="G4" i="5" s="1"/>
  <c r="I4" i="5" s="1"/>
  <c r="E5" i="5"/>
  <c r="G5" i="5" s="1"/>
  <c r="I5" i="5" s="1"/>
  <c r="E6" i="5"/>
  <c r="G6" i="5" s="1"/>
  <c r="I6" i="5" s="1"/>
  <c r="E7" i="5"/>
  <c r="G7" i="5" s="1"/>
  <c r="I7" i="5" s="1"/>
  <c r="E8" i="5"/>
  <c r="G8" i="5" s="1"/>
  <c r="I8" i="5" s="1"/>
  <c r="E3" i="5"/>
  <c r="G3" i="5" s="1"/>
  <c r="I3" i="5" s="1"/>
  <c r="E2" i="5"/>
  <c r="G2" i="5" s="1"/>
  <c r="I2" i="5" s="1"/>
  <c r="F17" i="8" l="1"/>
  <c r="F14" i="8"/>
  <c r="F16" i="8"/>
  <c r="C37" i="7"/>
  <c r="D31" i="7"/>
  <c r="C36" i="7"/>
  <c r="E29" i="7"/>
  <c r="E30" i="7"/>
  <c r="E27" i="7"/>
  <c r="E28" i="7"/>
  <c r="H28" i="7"/>
  <c r="H29" i="7"/>
  <c r="H27" i="7"/>
  <c r="D29" i="7"/>
  <c r="D30"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<sst xmlns="http://schemas.openxmlformats.org/spreadsheetml/2006/main" count="311" uniqueCount="175">
  <si>
    <t>First Table of HR Analytics</t>
  </si>
  <si>
    <t>EmpID</t>
  </si>
  <si>
    <t>FirstName</t>
  </si>
  <si>
    <t>LastName</t>
  </si>
  <si>
    <t>DOB</t>
  </si>
  <si>
    <t>Salary</t>
  </si>
  <si>
    <t>EM101</t>
  </si>
  <si>
    <t>EM102</t>
  </si>
  <si>
    <t>EM103</t>
  </si>
  <si>
    <t>EM104</t>
  </si>
  <si>
    <t>EM105</t>
  </si>
  <si>
    <t>EM106</t>
  </si>
  <si>
    <t>EM107</t>
  </si>
  <si>
    <t>EM108</t>
  </si>
  <si>
    <t>EM109</t>
  </si>
  <si>
    <t>EM110</t>
  </si>
  <si>
    <t>Alan</t>
  </si>
  <si>
    <t>Walker</t>
  </si>
  <si>
    <t>Sara</t>
  </si>
  <si>
    <t>Williams</t>
  </si>
  <si>
    <t>Ravi</t>
  </si>
  <si>
    <t>Bishnoi</t>
  </si>
  <si>
    <t>Andre</t>
  </si>
  <si>
    <t>Russel</t>
  </si>
  <si>
    <t>Jack</t>
  </si>
  <si>
    <t>Dorsey</t>
  </si>
  <si>
    <t>Hardey</t>
  </si>
  <si>
    <t>Sandhu</t>
  </si>
  <si>
    <t>First Automatic Table In Excel</t>
  </si>
  <si>
    <t>Buler</t>
  </si>
  <si>
    <t>Ganesh</t>
  </si>
  <si>
    <t>Giri</t>
  </si>
  <si>
    <t>David</t>
  </si>
  <si>
    <t>Muller</t>
  </si>
  <si>
    <t>EM111</t>
  </si>
  <si>
    <t>EM112</t>
  </si>
  <si>
    <t>PID</t>
  </si>
  <si>
    <t>Product</t>
  </si>
  <si>
    <t>Price</t>
  </si>
  <si>
    <t>Quantity</t>
  </si>
  <si>
    <t>Total</t>
  </si>
  <si>
    <t>Coconut</t>
  </si>
  <si>
    <t>Soap</t>
  </si>
  <si>
    <t>Shampoo</t>
  </si>
  <si>
    <t>Pedigree</t>
  </si>
  <si>
    <t>Jeans</t>
  </si>
  <si>
    <t>Shirt</t>
  </si>
  <si>
    <t>Table</t>
  </si>
  <si>
    <t>Discount</t>
  </si>
  <si>
    <t>Final</t>
  </si>
  <si>
    <t>Tax</t>
  </si>
  <si>
    <t>Paybale</t>
  </si>
  <si>
    <t>ID</t>
  </si>
  <si>
    <t>Name</t>
  </si>
  <si>
    <t>Department</t>
  </si>
  <si>
    <t>City</t>
  </si>
  <si>
    <t>Bonus</t>
  </si>
  <si>
    <t>Joining Date</t>
  </si>
  <si>
    <t>Sales</t>
  </si>
  <si>
    <t>Rating</t>
  </si>
  <si>
    <t>Email</t>
  </si>
  <si>
    <t>Status</t>
  </si>
  <si>
    <t>Amit</t>
  </si>
  <si>
    <t>IT</t>
  </si>
  <si>
    <t>Pune</t>
  </si>
  <si>
    <t>amit@gmail.com</t>
  </si>
  <si>
    <t>Active</t>
  </si>
  <si>
    <t>Priya</t>
  </si>
  <si>
    <t>HR</t>
  </si>
  <si>
    <t>Mumbai</t>
  </si>
  <si>
    <t>priya@gmail.com</t>
  </si>
  <si>
    <t>Rahul</t>
  </si>
  <si>
    <t>rahul@gmail.com</t>
  </si>
  <si>
    <t>Sneha</t>
  </si>
  <si>
    <t>Finance</t>
  </si>
  <si>
    <t>Nashik</t>
  </si>
  <si>
    <t>sneha@gmail.com</t>
  </si>
  <si>
    <t>Vikram</t>
  </si>
  <si>
    <t>vikram@gmail.com</t>
  </si>
  <si>
    <t>Neha</t>
  </si>
  <si>
    <t>Nagpur</t>
  </si>
  <si>
    <t>neha@gmail.com</t>
  </si>
  <si>
    <t>Rohan</t>
  </si>
  <si>
    <t>rohan@gmail.com</t>
  </si>
  <si>
    <t>Pooja</t>
  </si>
  <si>
    <t>pooja@gmail.com</t>
  </si>
  <si>
    <t>Inactive</t>
  </si>
  <si>
    <t>Karan</t>
  </si>
  <si>
    <t>karan@gmail.com</t>
  </si>
  <si>
    <t>Anjali</t>
  </si>
  <si>
    <t>anjali@gmail.com</t>
  </si>
  <si>
    <t>Suresh</t>
  </si>
  <si>
    <t>suresh@gmail.com</t>
  </si>
  <si>
    <t>Meena</t>
  </si>
  <si>
    <t>meena@gmail.com</t>
  </si>
  <si>
    <t>Akash</t>
  </si>
  <si>
    <t>akash@gmail.com</t>
  </si>
  <si>
    <t>Kavita</t>
  </si>
  <si>
    <t>kavita@gmail.com</t>
  </si>
  <si>
    <t>Manish</t>
  </si>
  <si>
    <t>manish@gmail.com</t>
  </si>
  <si>
    <t>Riya</t>
  </si>
  <si>
    <t>riya@gmail.com</t>
  </si>
  <si>
    <t>Deepak</t>
  </si>
  <si>
    <t>deepak@gmail.com</t>
  </si>
  <si>
    <t>Swati</t>
  </si>
  <si>
    <t>swati@gmail.com</t>
  </si>
  <si>
    <t>Nikhil</t>
  </si>
  <si>
    <t>nikhil@gmail.com</t>
  </si>
  <si>
    <t>Aarti</t>
  </si>
  <si>
    <t>aarti@gmail.com</t>
  </si>
  <si>
    <t>DAY 2 EXCEL</t>
  </si>
  <si>
    <t>Summation</t>
  </si>
  <si>
    <t>Minimum</t>
  </si>
  <si>
    <t>Maximum</t>
  </si>
  <si>
    <t>Average</t>
  </si>
  <si>
    <t>Round</t>
  </si>
  <si>
    <t>Absolute</t>
  </si>
  <si>
    <t>Shiv</t>
  </si>
  <si>
    <t>India</t>
  </si>
  <si>
    <t>ABC123</t>
  </si>
  <si>
    <t>Concatination</t>
  </si>
  <si>
    <t>&amp;</t>
  </si>
  <si>
    <t>Left</t>
  </si>
  <si>
    <t>Right</t>
  </si>
  <si>
    <t>mid</t>
  </si>
  <si>
    <t>Len</t>
  </si>
  <si>
    <t>upper</t>
  </si>
  <si>
    <t>proper</t>
  </si>
  <si>
    <t>Trim</t>
  </si>
  <si>
    <t xml:space="preserve">   Hello     </t>
  </si>
  <si>
    <t>Today</t>
  </si>
  <si>
    <t>Now</t>
  </si>
  <si>
    <t>Day</t>
  </si>
  <si>
    <t>Month</t>
  </si>
  <si>
    <t>Year</t>
  </si>
  <si>
    <t>TIME</t>
  </si>
  <si>
    <t>HOUR</t>
  </si>
  <si>
    <t>MINUTES</t>
  </si>
  <si>
    <t>SECONDs</t>
  </si>
  <si>
    <t>Phy</t>
  </si>
  <si>
    <t>Chm</t>
  </si>
  <si>
    <t>AND</t>
  </si>
  <si>
    <t>OR</t>
  </si>
  <si>
    <t>NOT</t>
  </si>
  <si>
    <t>IFERROR</t>
  </si>
  <si>
    <t>IFS</t>
  </si>
  <si>
    <t>Hello</t>
  </si>
  <si>
    <t>Employee</t>
  </si>
  <si>
    <t>Region</t>
  </si>
  <si>
    <t>Target</t>
  </si>
  <si>
    <t>Attendance</t>
  </si>
  <si>
    <t>South</t>
  </si>
  <si>
    <t>West</t>
  </si>
  <si>
    <t>North</t>
  </si>
  <si>
    <t>Raj</t>
  </si>
  <si>
    <t>Kiran</t>
  </si>
  <si>
    <t>Attendance_status</t>
  </si>
  <si>
    <t>Count</t>
  </si>
  <si>
    <t>East</t>
  </si>
  <si>
    <t>Attendance_Satatus</t>
  </si>
  <si>
    <t>Excellent</t>
  </si>
  <si>
    <t>Best</t>
  </si>
  <si>
    <t>Good</t>
  </si>
  <si>
    <t>Poor</t>
  </si>
  <si>
    <t>Sales Total</t>
  </si>
  <si>
    <t>Excellent Count</t>
  </si>
  <si>
    <t>Joining Year</t>
  </si>
  <si>
    <t>Sum of Salary</t>
  </si>
  <si>
    <t>Row Labels</t>
  </si>
  <si>
    <t>Grand Total</t>
  </si>
  <si>
    <t>Sum of Sales</t>
  </si>
  <si>
    <t>Average of Salary</t>
  </si>
  <si>
    <t>Max of Salary</t>
  </si>
  <si>
    <t>Min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</si>
</sst>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8" x14ac:knownFonts="1">
    <font>
      <sz val="11"/>
      <color theme="1"/>
      <name val="Calibri"/>
      <family val="2"/>
      <scheme val="minor"/>
    </font>
    <font>
      <b/>
      <sz val="11"/>
      <color theme="1"/>
      <name val="Calibri"/>
      <family val="2"/>
      <scheme val="minor"/>
    </font>
    <font>
      <sz val="8"/>
      <name val="Calibri"/>
      <family val="2"/>
      <scheme val="minor"/>
    </font>
    <font>
      <b/>
      <sz val="11"/>
      <color theme="4" tint="-0.499984740745262"/>
      <name val="Calibri"/>
      <family val="2"/>
      <scheme val="minor"/>
    </font>
    <font>
      <u/>
      <sz val="11"/>
      <color theme="10"/>
      <name val="Calibri"/>
      <family val="2"/>
      <scheme val="minor"/>
    </font>
    <font>
      <b/>
      <sz val="16"/>
      <color theme="0"/>
      <name val="Calibri"/>
      <family val="2"/>
      <scheme val="minor"/>
    </font>
    <font>
      <sz val="11"/>
      <color theme="6" tint="-0.499984740745262"/>
      <name val="Calibri"/>
      <family val="2"/>
      <scheme val="minor"/>
    </font>
    <font>
      <b/>
      <sz val="14"/>
      <color theme="1"/>
      <name val="Calibri"/>
      <family val="2"/>
      <scheme val="minor"/>
    </font>
  </fonts>
  <fills count="7">
    <fill>
      <patternFill patternType="none"/>
    </fill>
    <fill>
      <patternFill patternType="gray125"/>
    </fill>
    <fill>
      <patternFill patternType="solid">
        <fgColor theme="3" tint="0.59999389629810485"/>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1" tint="0.499984740745262"/>
        <bgColor indexed="64"/>
      </patternFill>
    </fill>
    <fill>
      <patternFill patternType="solid">
        <fgColor theme="3"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4" fillId="0" borderId="0" applyNumberFormat="0" applyFill="0" applyBorder="0" applyAlignment="0" applyProtection="0"/>
  </cellStyleXfs>
  <cellXfs count="32">
    <xf numFmtId="0" fontId="0" fillId="0" borderId="0" xfId="0"/>
    <xf numFmtId="14" fontId="0" fillId="0" borderId="0" xfId="0" applyNumberFormat="1"/>
    <xf numFmtId="0" fontId="3" fillId="2" borderId="0" xfId="0" applyFont="1" applyFill="1" applyAlignment="1">
      <alignment horizontal="left" indent="23"/>
    </xf>
    <xf numFmtId="0" fontId="0" fillId="0" borderId="1" xfId="0" applyBorder="1"/>
    <xf numFmtId="0" fontId="1" fillId="3" borderId="1" xfId="0" applyFont="1" applyFill="1" applyBorder="1"/>
    <xf numFmtId="14" fontId="0" fillId="0" borderId="1" xfId="0" applyNumberFormat="1" applyBorder="1"/>
    <xf numFmtId="0" fontId="3" fillId="4" borderId="0" xfId="0" applyFont="1" applyFill="1" applyAlignment="1">
      <alignment horizontal="left" indent="17"/>
    </xf>
    <xf numFmtId="0" fontId="0" fillId="4" borderId="1" xfId="0" applyFill="1" applyBorder="1"/>
    <xf numFmtId="0" fontId="0" fillId="4" borderId="2" xfId="0" applyFill="1" applyBorder="1"/>
    <xf numFmtId="0" fontId="0" fillId="0" borderId="0" xfId="0" applyAlignment="1">
      <alignment horizontal="right" vertical="center" wrapText="1"/>
    </xf>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4" fillId="0" borderId="0" xfId="1" applyAlignment="1">
      <alignment vertical="center" wrapText="1"/>
    </xf>
    <xf numFmtId="0" fontId="5" fillId="5" borderId="0" xfId="0" applyFont="1" applyFill="1" applyAlignment="1">
      <alignment horizontal="left" indent="41"/>
    </xf>
    <xf numFmtId="0" fontId="1" fillId="5" borderId="1" xfId="0" applyFont="1" applyFill="1" applyBorder="1"/>
    <xf numFmtId="0" fontId="0" fillId="6" borderId="1" xfId="0" applyFill="1" applyBorder="1"/>
    <xf numFmtId="22" fontId="0" fillId="0" borderId="0" xfId="0" applyNumberFormat="1"/>
    <xf numFmtId="164" fontId="0" fillId="0" borderId="0" xfId="0" applyNumberFormat="1"/>
    <xf numFmtId="18" fontId="0" fillId="0" borderId="0" xfId="0" applyNumberFormat="1"/>
    <xf numFmtId="0" fontId="6" fillId="0" borderId="1" xfId="0" applyFont="1" applyBorder="1"/>
    <xf numFmtId="0" fontId="0" fillId="0" borderId="1" xfId="0" applyBorder="1" applyAlignment="1">
      <alignment vertical="center" wrapText="1"/>
    </xf>
    <xf numFmtId="0" fontId="0" fillId="0" borderId="1" xfId="0" applyBorder="1" applyAlignment="1">
      <alignment horizontal="right" vertical="center" wrapText="1"/>
    </xf>
    <xf numFmtId="9" fontId="0" fillId="0" borderId="1" xfId="0" applyNumberFormat="1" applyBorder="1" applyAlignment="1">
      <alignment horizontal="right" vertical="center" wrapText="1"/>
    </xf>
    <xf numFmtId="0" fontId="7" fillId="3" borderId="1" xfId="0" applyFont="1" applyFill="1" applyBorder="1" applyAlignment="1">
      <alignment horizontal="center" vertical="center" wrapText="1"/>
    </xf>
    <xf numFmtId="0" fontId="7" fillId="3" borderId="1" xfId="0" applyFont="1" applyFill="1" applyBorder="1" applyAlignment="1">
      <alignment horizontal="right" vertical="center" wrapText="1"/>
    </xf>
    <xf numFmtId="0" fontId="1" fillId="3" borderId="1" xfId="0" applyFont="1" applyFill="1" applyBorder="1" applyAlignment="1">
      <alignment horizontal="center"/>
    </xf>
    <xf numFmtId="0" fontId="0" fillId="3" borderId="0" xfId="0" applyFill="1"/>
    <xf numFmtId="0" fontId="0" fillId="0" borderId="0" xfId="0" pivotButton="1"/>
    <xf numFmtId="0" fontId="0" fillId="0" borderId="0" xfId="0" applyNumberFormat="1"/>
    <xf numFmtId="0" fontId="0" fillId="0" borderId="0" xfId="0" applyAlignment="1">
      <alignment horizontal="left"/>
    </xf>
    <xf numFmtId="0" fontId="0" fillId="0" borderId="0" xfId="0" applyAlignment="1">
      <alignment horizontal="left" indent="1"/>
    </xf>
  </cellXfs>
  <cellStyles count="2">
    <cellStyle name="Hyperlink" xfId="1" builtinId="8"/>
    <cellStyle name="Normal" xfId="0" builtinId="0"/>
  </cellStyles>
  <dxfs count="15">
    <dxf>
      <numFmt numFmtId="0" formatCode="General"/>
    </dxf>
    <dxf>
      <numFmt numFmtId="19" formatCode="dd/mm/yyyy"/>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numFmt numFmtId="19" formatCode="dd/mm/yyyy"/>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HR_ANALYTICS_5!$C$20</c:f>
              <c:strCache>
                <c:ptCount val="1"/>
                <c:pt idx="0">
                  <c:v>Sales Total</c:v>
                </c:pt>
              </c:strCache>
            </c:strRef>
          </c:tx>
          <c:spPr>
            <a:solidFill>
              <a:schemeClr val="accent1"/>
            </a:solidFill>
            <a:ln>
              <a:noFill/>
            </a:ln>
            <a:effectLst/>
          </c:spPr>
          <c:invertIfNegative val="0"/>
          <c:cat>
            <c:strRef>
              <c:f>HR_ANALYTICS_5!$B$21:$B$24</c:f>
              <c:strCache>
                <c:ptCount val="4"/>
                <c:pt idx="0">
                  <c:v>East</c:v>
                </c:pt>
                <c:pt idx="1">
                  <c:v>West</c:v>
                </c:pt>
                <c:pt idx="2">
                  <c:v>South</c:v>
                </c:pt>
                <c:pt idx="3">
                  <c:v>North</c:v>
                </c:pt>
              </c:strCache>
            </c:strRef>
          </c:cat>
          <c:val>
            <c:numRef>
              <c:f>HR_ANALYTICS_5!$C$21:$C$24</c:f>
              <c:numCache>
                <c:formatCode>General</c:formatCode>
                <c:ptCount val="4"/>
                <c:pt idx="0">
                  <c:v>0</c:v>
                </c:pt>
                <c:pt idx="1">
                  <c:v>1800000</c:v>
                </c:pt>
                <c:pt idx="2">
                  <c:v>1000000</c:v>
                </c:pt>
                <c:pt idx="3">
                  <c:v>1100000</c:v>
                </c:pt>
              </c:numCache>
            </c:numRef>
          </c:val>
          <c:extLst>
            <c:ext xmlns:c16="http://schemas.microsoft.com/office/drawing/2014/chart" uri="{C3380CC4-5D6E-409C-BE32-E72D297353CC}">
              <c16:uniqueId val="{00000000-DFB6-4B0F-84D4-8874A0A474EE}"/>
            </c:ext>
          </c:extLst>
        </c:ser>
        <c:dLbls>
          <c:showLegendKey val="0"/>
          <c:showVal val="0"/>
          <c:showCatName val="0"/>
          <c:showSerName val="0"/>
          <c:showPercent val="0"/>
          <c:showBubbleSize val="0"/>
        </c:dLbls>
        <c:gapWidth val="219"/>
        <c:overlap val="-27"/>
        <c:axId val="1592935440"/>
        <c:axId val="1445639216"/>
      </c:barChart>
      <c:catAx>
        <c:axId val="159293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639216"/>
        <c:crosses val="autoZero"/>
        <c:auto val="1"/>
        <c:lblAlgn val="ctr"/>
        <c:lblOffset val="100"/>
        <c:noMultiLvlLbl val="0"/>
      </c:catAx>
      <c:valAx>
        <c:axId val="144563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93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24114080461901E-2"/>
          <c:y val="0.12482245166824962"/>
          <c:w val="0.89655796150481193"/>
          <c:h val="0.72088764946048411"/>
        </c:manualLayout>
      </c:layout>
      <c:lineChart>
        <c:grouping val="stacked"/>
        <c:varyColors val="0"/>
        <c:ser>
          <c:idx val="0"/>
          <c:order val="0"/>
          <c:tx>
            <c:strRef>
              <c:f>HR_ANALYTICS_5!$F$19</c:f>
              <c:strCache>
                <c:ptCount val="1"/>
                <c:pt idx="0">
                  <c:v>Excellent Count</c:v>
                </c:pt>
              </c:strCache>
            </c:strRef>
          </c:tx>
          <c:spPr>
            <a:ln w="28575" cap="rnd">
              <a:solidFill>
                <a:schemeClr val="accent1"/>
              </a:solidFill>
              <a:round/>
            </a:ln>
            <a:effectLst/>
          </c:spPr>
          <c:marker>
            <c:symbol val="none"/>
          </c:marker>
          <c:cat>
            <c:strRef>
              <c:f>HR_ANALYTICS_5!$E$20:$E$23</c:f>
              <c:strCache>
                <c:ptCount val="4"/>
                <c:pt idx="0">
                  <c:v>East</c:v>
                </c:pt>
                <c:pt idx="1">
                  <c:v>West</c:v>
                </c:pt>
                <c:pt idx="2">
                  <c:v>South</c:v>
                </c:pt>
                <c:pt idx="3">
                  <c:v>North</c:v>
                </c:pt>
              </c:strCache>
            </c:strRef>
          </c:cat>
          <c:val>
            <c:numRef>
              <c:f>HR_ANALYTICS_5!$F$20:$F$23</c:f>
              <c:numCache>
                <c:formatCode>General</c:formatCode>
                <c:ptCount val="4"/>
                <c:pt idx="0">
                  <c:v>0</c:v>
                </c:pt>
                <c:pt idx="1">
                  <c:v>2</c:v>
                </c:pt>
                <c:pt idx="2">
                  <c:v>3</c:v>
                </c:pt>
                <c:pt idx="3">
                  <c:v>1</c:v>
                </c:pt>
              </c:numCache>
            </c:numRef>
          </c:val>
          <c:smooth val="0"/>
          <c:extLst>
            <c:ext xmlns:c16="http://schemas.microsoft.com/office/drawing/2014/chart" uri="{C3380CC4-5D6E-409C-BE32-E72D297353CC}">
              <c16:uniqueId val="{00000000-2AAE-4711-B525-B9D9F9123785}"/>
            </c:ext>
          </c:extLst>
        </c:ser>
        <c:dLbls>
          <c:showLegendKey val="0"/>
          <c:showVal val="0"/>
          <c:showCatName val="0"/>
          <c:showSerName val="0"/>
          <c:showPercent val="0"/>
          <c:showBubbleSize val="0"/>
        </c:dLbls>
        <c:smooth val="0"/>
        <c:axId val="1574863424"/>
        <c:axId val="1445709776"/>
      </c:lineChart>
      <c:catAx>
        <c:axId val="157486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709776"/>
        <c:crosses val="autoZero"/>
        <c:auto val="1"/>
        <c:lblAlgn val="ctr"/>
        <c:lblOffset val="100"/>
        <c:noMultiLvlLbl val="0"/>
      </c:catAx>
      <c:valAx>
        <c:axId val="144570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86342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HR_ANALYTICS_5!$F$13</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C2-4D4A-A8AC-72D8CF74DE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C2-4D4A-A8AC-72D8CF74DE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C2-4D4A-A8AC-72D8CF74DE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0C2-4D4A-A8AC-72D8CF74DE65}"/>
              </c:ext>
            </c:extLst>
          </c:dPt>
          <c:cat>
            <c:strRef>
              <c:f>HR_ANALYTICS_5!$E$14:$E$17</c:f>
              <c:strCache>
                <c:ptCount val="4"/>
                <c:pt idx="0">
                  <c:v>Excellent</c:v>
                </c:pt>
                <c:pt idx="1">
                  <c:v>Best</c:v>
                </c:pt>
                <c:pt idx="2">
                  <c:v>Good</c:v>
                </c:pt>
                <c:pt idx="3">
                  <c:v>Poor</c:v>
                </c:pt>
              </c:strCache>
            </c:strRef>
          </c:cat>
          <c:val>
            <c:numRef>
              <c:f>HR_ANALYTICS_5!$F$14:$F$17</c:f>
              <c:numCache>
                <c:formatCode>General</c:formatCode>
                <c:ptCount val="4"/>
                <c:pt idx="0">
                  <c:v>6</c:v>
                </c:pt>
                <c:pt idx="1">
                  <c:v>1</c:v>
                </c:pt>
                <c:pt idx="2">
                  <c:v>1</c:v>
                </c:pt>
                <c:pt idx="3">
                  <c:v>0</c:v>
                </c:pt>
              </c:numCache>
            </c:numRef>
          </c:val>
          <c:extLst>
            <c:ext xmlns:c16="http://schemas.microsoft.com/office/drawing/2014/chart" uri="{C3380CC4-5D6E-409C-BE32-E72D297353CC}">
              <c16:uniqueId val="{00000000-DEC9-45F8-80F8-DBA23656067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00000000-0AB4-4860-90A5-73A137E460C2}">
          <cx:tx>
            <cx:txData>
              <cx:f>_xlchart.v1.1</cx:f>
              <cx:v>Count</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4</xdr:col>
      <xdr:colOff>101530</xdr:colOff>
      <xdr:row>34</xdr:row>
      <xdr:rowOff>1396</xdr:rowOff>
    </xdr:from>
    <xdr:to>
      <xdr:col>6</xdr:col>
      <xdr:colOff>178846</xdr:colOff>
      <xdr:row>47</xdr:row>
      <xdr:rowOff>166950</xdr:rowOff>
    </xdr:to>
    <mc:AlternateContent xmlns:mc="http://schemas.openxmlformats.org/markup-compatibility/2006">
      <mc:Choice xmlns:a14="http://schemas.microsoft.com/office/drawing/2010/main" Requires="a14">
        <xdr:graphicFrame macro="">
          <xdr:nvGraphicFramePr>
            <xdr:cNvPr id="11" name="Joining Year">
              <a:extLst>
                <a:ext uri="{FF2B5EF4-FFF2-40B4-BE49-F238E27FC236}">
                  <a16:creationId xmlns:a16="http://schemas.microsoft.com/office/drawing/2014/main" id="{329691B3-CCDC-80F6-07B9-4685C8F043A7}"/>
                </a:ext>
              </a:extLst>
            </xdr:cNvPr>
            <xdr:cNvGraphicFramePr/>
          </xdr:nvGraphicFramePr>
          <xdr:xfrm>
            <a:off x="0" y="0"/>
            <a:ext cx="0" cy="0"/>
          </xdr:xfrm>
          <a:graphic>
            <a:graphicData uri="http://schemas.microsoft.com/office/drawing/2010/slicer">
              <sle:slicer xmlns:sle="http://schemas.microsoft.com/office/drawing/2010/slicer" name="Joining Year"/>
            </a:graphicData>
          </a:graphic>
        </xdr:graphicFrame>
      </mc:Choice>
      <mc:Fallback>
        <xdr:sp macro="" textlink="">
          <xdr:nvSpPr>
            <xdr:cNvPr id="0" name=""/>
            <xdr:cNvSpPr>
              <a:spLocks noTextEdit="1"/>
            </xdr:cNvSpPr>
          </xdr:nvSpPr>
          <xdr:spPr>
            <a:xfrm>
              <a:off x="3646365" y="339271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185267</xdr:colOff>
      <xdr:row>34</xdr:row>
      <xdr:rowOff>768</xdr:rowOff>
    </xdr:from>
    <xdr:to>
      <xdr:col>8</xdr:col>
      <xdr:colOff>123023</xdr:colOff>
      <xdr:row>47</xdr:row>
      <xdr:rowOff>166322</xdr:rowOff>
    </xdr:to>
    <mc:AlternateContent xmlns:mc="http://schemas.openxmlformats.org/markup-compatibility/2006">
      <mc:Choice xmlns:a14="http://schemas.microsoft.com/office/drawing/2010/main" Requires="a14">
        <xdr:graphicFrame macro="">
          <xdr:nvGraphicFramePr>
            <xdr:cNvPr id="12" name="Name">
              <a:extLst>
                <a:ext uri="{FF2B5EF4-FFF2-40B4-BE49-F238E27FC236}">
                  <a16:creationId xmlns:a16="http://schemas.microsoft.com/office/drawing/2014/main" id="{CFC08B8B-79AE-A7DC-0E5A-1858A4B64714}"/>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5481586" y="339208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210318</xdr:colOff>
      <xdr:row>33</xdr:row>
      <xdr:rowOff>177940</xdr:rowOff>
    </xdr:from>
    <xdr:to>
      <xdr:col>10</xdr:col>
      <xdr:colOff>141096</xdr:colOff>
      <xdr:row>47</xdr:row>
      <xdr:rowOff>162065</xdr:rowOff>
    </xdr:to>
    <mc:AlternateContent xmlns:mc="http://schemas.openxmlformats.org/markup-compatibility/2006">
      <mc:Choice xmlns:a14="http://schemas.microsoft.com/office/drawing/2010/main" Requires="a14">
        <xdr:graphicFrame macro="">
          <xdr:nvGraphicFramePr>
            <xdr:cNvPr id="13" name="City">
              <a:extLst>
                <a:ext uri="{FF2B5EF4-FFF2-40B4-BE49-F238E27FC236}">
                  <a16:creationId xmlns:a16="http://schemas.microsoft.com/office/drawing/2014/main" id="{71AB9DE6-29D0-0AF0-B3F6-7741E85AC25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397681" y="338783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784748</xdr:colOff>
      <xdr:row>3</xdr:row>
      <xdr:rowOff>102228</xdr:rowOff>
    </xdr:from>
    <xdr:to>
      <xdr:col>18</xdr:col>
      <xdr:colOff>478273</xdr:colOff>
      <xdr:row>33</xdr:row>
      <xdr:rowOff>44485</xdr:rowOff>
    </xdr:to>
    <mc:AlternateContent xmlns:mc="http://schemas.openxmlformats.org/markup-compatibility/2006">
      <mc:Choice xmlns:a14="http://schemas.microsoft.com/office/drawing/2010/main" Requires="a14">
        <xdr:graphicFrame macro="">
          <xdr:nvGraphicFramePr>
            <xdr:cNvPr id="16" name="Department">
              <a:extLst>
                <a:ext uri="{FF2B5EF4-FFF2-40B4-BE49-F238E27FC236}">
                  <a16:creationId xmlns:a16="http://schemas.microsoft.com/office/drawing/2014/main" id="{10BA54AB-A907-45DB-C354-A72E477DE2C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5082715" y="730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521329</xdr:colOff>
      <xdr:row>3</xdr:row>
      <xdr:rowOff>124907</xdr:rowOff>
    </xdr:from>
    <xdr:to>
      <xdr:col>20</xdr:col>
      <xdr:colOff>214855</xdr:colOff>
      <xdr:row>33</xdr:row>
      <xdr:rowOff>67164</xdr:rowOff>
    </xdr:to>
    <mc:AlternateContent xmlns:mc="http://schemas.openxmlformats.org/markup-compatibility/2006">
      <mc:Choice xmlns:a14="http://schemas.microsoft.com/office/drawing/2010/main" Requires="a14">
        <xdr:graphicFrame macro="">
          <xdr:nvGraphicFramePr>
            <xdr:cNvPr id="17" name="City 1">
              <a:extLst>
                <a:ext uri="{FF2B5EF4-FFF2-40B4-BE49-F238E27FC236}">
                  <a16:creationId xmlns:a16="http://schemas.microsoft.com/office/drawing/2014/main" id="{6650DB74-60DC-37C6-B73B-08A4203C39A7}"/>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6954571" y="75292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264886</xdr:colOff>
      <xdr:row>3</xdr:row>
      <xdr:rowOff>154563</xdr:rowOff>
    </xdr:from>
    <xdr:to>
      <xdr:col>22</xdr:col>
      <xdr:colOff>279400</xdr:colOff>
      <xdr:row>33</xdr:row>
      <xdr:rowOff>96820</xdr:rowOff>
    </xdr:to>
    <mc:AlternateContent xmlns:mc="http://schemas.openxmlformats.org/markup-compatibility/2006">
      <mc:Choice xmlns:a14="http://schemas.microsoft.com/office/drawing/2010/main" Requires="a14">
        <xdr:graphicFrame macro="">
          <xdr:nvGraphicFramePr>
            <xdr:cNvPr id="18" name="Sales">
              <a:extLst>
                <a:ext uri="{FF2B5EF4-FFF2-40B4-BE49-F238E27FC236}">
                  <a16:creationId xmlns:a16="http://schemas.microsoft.com/office/drawing/2014/main" id="{2DD66187-D3AF-DDFD-A054-F87D8D85859D}"/>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18833402" y="78258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xdr:colOff>
      <xdr:row>24</xdr:row>
      <xdr:rowOff>12700</xdr:rowOff>
    </xdr:from>
    <xdr:to>
      <xdr:col>3</xdr:col>
      <xdr:colOff>25400</xdr:colOff>
      <xdr:row>30</xdr:row>
      <xdr:rowOff>69850</xdr:rowOff>
    </xdr:to>
    <xdr:graphicFrame macro="">
      <xdr:nvGraphicFramePr>
        <xdr:cNvPr id="2" name="Chart 1">
          <a:extLst>
            <a:ext uri="{FF2B5EF4-FFF2-40B4-BE49-F238E27FC236}">
              <a16:creationId xmlns:a16="http://schemas.microsoft.com/office/drawing/2014/main" id="{F8305989-E482-B526-3E04-8C85D88D9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873125</xdr:colOff>
      <xdr:row>23</xdr:row>
      <xdr:rowOff>19050</xdr:rowOff>
    </xdr:from>
    <xdr:to>
      <xdr:col>6</xdr:col>
      <xdr:colOff>19050</xdr:colOff>
      <xdr:row>31</xdr:row>
      <xdr:rowOff>171450</xdr:rowOff>
    </xdr:to>
    <xdr:graphicFrame macro="">
      <xdr:nvGraphicFramePr>
        <xdr:cNvPr id="3" name="Chart 2">
          <a:extLst>
            <a:ext uri="{FF2B5EF4-FFF2-40B4-BE49-F238E27FC236}">
              <a16:creationId xmlns:a16="http://schemas.microsoft.com/office/drawing/2014/main" id="{FA1281BC-8E4A-6F46-E19E-80ACFCB53B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28575</xdr:colOff>
      <xdr:row>11</xdr:row>
      <xdr:rowOff>165100</xdr:rowOff>
    </xdr:from>
    <xdr:to>
      <xdr:col>7</xdr:col>
      <xdr:colOff>806450</xdr:colOff>
      <xdr:row>20</xdr:row>
      <xdr:rowOff>133350</xdr:rowOff>
    </xdr:to>
    <xdr:graphicFrame macro="">
      <xdr:nvGraphicFramePr>
        <xdr:cNvPr id="4" name="Chart 3">
          <a:extLst>
            <a:ext uri="{FF2B5EF4-FFF2-40B4-BE49-F238E27FC236}">
              <a16:creationId xmlns:a16="http://schemas.microsoft.com/office/drawing/2014/main" id="{71772801-52A5-83CC-B6A4-7CC3A52B45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15875</xdr:colOff>
      <xdr:row>21</xdr:row>
      <xdr:rowOff>76200</xdr:rowOff>
    </xdr:from>
    <xdr:to>
      <xdr:col>7</xdr:col>
      <xdr:colOff>844550</xdr:colOff>
      <xdr:row>29</xdr:row>
      <xdr:rowOff>69850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416651BC-7190-6193-2F93-CE97ABD893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407275" y="4171950"/>
              <a:ext cx="2651125" cy="14668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 PC" refreshedDate="46252.809185416663" createdVersion="8" refreshedVersion="8" minRefreshableVersion="3" recordCount="20" xr:uid="{9DC72DAC-33BB-4FEA-947D-8B3465B94E0E}">
  <cacheSource type="worksheet">
    <worksheetSource name="hr_table2"/>
  </cacheSource>
  <cacheFields count="13">
    <cacheField name="ID" numFmtId="0">
      <sharedItems containsSemiMixedTypes="0" containsString="0" containsNumber="1" containsInteger="1" minValue="101" maxValue="120"/>
    </cacheField>
    <cacheField name="Name" numFmtId="0">
      <sharedItems count="20">
        <s v="Amit"/>
        <s v="Priya"/>
        <s v="Rahul"/>
        <s v="Sneha"/>
        <s v="Vikram"/>
        <s v="Neha"/>
        <s v="Rohan"/>
        <s v="Pooja"/>
        <s v="Karan"/>
        <s v="Anjali"/>
        <s v="Suresh"/>
        <s v="Meena"/>
        <s v="Akash"/>
        <s v="Kavita"/>
        <s v="Manish"/>
        <s v="Riya"/>
        <s v="Deepak"/>
        <s v="Swati"/>
        <s v="Nikhil"/>
        <s v="Aarti"/>
      </sharedItems>
    </cacheField>
    <cacheField name="Department" numFmtId="0">
      <sharedItems count="4">
        <s v="IT"/>
        <s v="HR"/>
        <s v="Finance"/>
        <s v="Sales"/>
      </sharedItems>
    </cacheField>
    <cacheField name="City" numFmtId="0">
      <sharedItems count="4">
        <s v="Pune"/>
        <s v="Mumbai"/>
        <s v="Nashik"/>
        <s v="Nagpur"/>
      </sharedItems>
    </cacheField>
    <cacheField name="Salary" numFmtId="0">
      <sharedItems containsSemiMixedTypes="0" containsString="0" containsNumber="1" containsInteger="1" minValue="45000" maxValue="75000"/>
    </cacheField>
    <cacheField name="Bonus" numFmtId="0">
      <sharedItems containsSemiMixedTypes="0" containsString="0" containsNumber="1" containsInteger="1" minValue="3000" maxValue="8000"/>
    </cacheField>
    <cacheField name="DOB" numFmtId="14">
      <sharedItems containsSemiMixedTypes="0" containsNonDate="0" containsDate="1" containsString="0" minDate="1992-10-03T00:00:00" maxDate="1999-11-27T00:00:00"/>
    </cacheField>
    <cacheField name="Joining Date" numFmtId="14">
      <sharedItems containsSemiMixedTypes="0" containsNonDate="0" containsDate="1" containsString="0" minDate="2018-05-15T00:00:00" maxDate="2023-07-11T00:00:00" count="20">
        <d v="2020-01-10T00:00:00"/>
        <d v="2021-06-15T00:00:00"/>
        <d v="2019-03-20T00:00:00"/>
        <d v="2020-09-05T00:00:00"/>
        <d v="2022-01-12T00:00:00"/>
        <d v="2020-07-25T00:00:00"/>
        <d v="2021-02-10T00:00:00"/>
        <d v="2021-08-18T00:00:00"/>
        <d v="2019-04-01T00:00:00"/>
        <d v="2018-05-15T00:00:00"/>
        <d v="2022-11-20T00:00:00"/>
        <d v="2022-01-05T00:00:00"/>
        <d v="2019-10-10T00:00:00"/>
        <d v="2021-03-15T00:00:00"/>
        <d v="2018-06-01T00:00:00"/>
        <d v="2023-07-10T00:00:00"/>
        <d v="2020-09-20T00:00:00"/>
        <d v="2022-01-15T00:00:00"/>
        <d v="2020-08-05T00:00:00"/>
        <d v="2021-06-12T00:00:00"/>
      </sharedItems>
    </cacheField>
    <cacheField name="Sales" numFmtId="0">
      <sharedItems containsSemiMixedTypes="0" containsString="0" containsNumber="1" containsInteger="1" minValue="78000" maxValue="180000" count="20">
        <n v="125000"/>
        <n v="85000"/>
        <n v="150000"/>
        <n v="110000"/>
        <n v="175000"/>
        <n v="135000"/>
        <n v="160000"/>
        <n v="90000"/>
        <n v="120000"/>
        <n v="180000"/>
        <n v="140000"/>
        <n v="95000"/>
        <n v="130000"/>
        <n v="155000"/>
        <n v="145000"/>
        <n v="78000"/>
        <n v="115000"/>
        <n v="165000"/>
        <n v="138000"/>
        <n v="88000"/>
      </sharedItems>
    </cacheField>
    <cacheField name="Rating" numFmtId="0">
      <sharedItems containsSemiMixedTypes="0" containsString="0" containsNumber="1" minValue="3.8" maxValue="4.9000000000000004"/>
    </cacheField>
    <cacheField name="Email" numFmtId="0">
      <sharedItems/>
    </cacheField>
    <cacheField name="Status" numFmtId="0">
      <sharedItems/>
    </cacheField>
    <cacheField name="Joining Year" numFmtId="0">
      <sharedItems containsSemiMixedTypes="0" containsString="0" containsNumber="1" containsInteger="1" minValue="2018" maxValue="2023" count="6">
        <n v="2020"/>
        <n v="2021"/>
        <n v="2019"/>
        <n v="2022"/>
        <n v="2018"/>
        <n v="2023"/>
      </sharedItems>
    </cacheField>
  </cacheFields>
  <extLst>
    <ext xmlns:x14="http://schemas.microsoft.com/office/spreadsheetml/2009/9/main" uri="{725AE2AE-9491-48be-B2B4-4EB974FC3084}">
      <x14:pivotCacheDefinition pivotCacheId="11255067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1"/>
    <x v="0"/>
    <x v="0"/>
    <x v="0"/>
    <n v="65000"/>
    <n v="5000"/>
    <d v="1995-02-15T00:00:00"/>
    <x v="0"/>
    <x v="0"/>
    <n v="4.5"/>
    <s v="amit@gmail.com"/>
    <s v="Active"/>
    <x v="0"/>
  </r>
  <r>
    <n v="102"/>
    <x v="1"/>
    <x v="1"/>
    <x v="1"/>
    <n v="55000"/>
    <n v="4000"/>
    <d v="1997-07-22T00:00:00"/>
    <x v="1"/>
    <x v="1"/>
    <n v="4"/>
    <s v="priya@gmail.com"/>
    <s v="Active"/>
    <x v="1"/>
  </r>
  <r>
    <n v="103"/>
    <x v="2"/>
    <x v="0"/>
    <x v="0"/>
    <n v="72000"/>
    <n v="7000"/>
    <d v="1993-11-05T00:00:00"/>
    <x v="2"/>
    <x v="2"/>
    <n v="4.8"/>
    <s v="rahul@gmail.com"/>
    <s v="Active"/>
    <x v="2"/>
  </r>
  <r>
    <n v="104"/>
    <x v="3"/>
    <x v="2"/>
    <x v="2"/>
    <n v="60000"/>
    <n v="4500"/>
    <d v="1996-03-12T00:00:00"/>
    <x v="3"/>
    <x v="3"/>
    <n v="4.2"/>
    <s v="sneha@gmail.com"/>
    <s v="Active"/>
    <x v="0"/>
  </r>
  <r>
    <n v="105"/>
    <x v="4"/>
    <x v="3"/>
    <x v="1"/>
    <n v="48000"/>
    <n v="8000"/>
    <d v="1998-08-30T00:00:00"/>
    <x v="4"/>
    <x v="4"/>
    <n v="4.5999999999999996"/>
    <s v="vikram@gmail.com"/>
    <s v="Active"/>
    <x v="3"/>
  </r>
  <r>
    <n v="106"/>
    <x v="5"/>
    <x v="0"/>
    <x v="3"/>
    <n v="68000"/>
    <n v="6000"/>
    <d v="1994-12-18T00:00:00"/>
    <x v="5"/>
    <x v="5"/>
    <n v="4.4000000000000004"/>
    <s v="neha@gmail.com"/>
    <s v="Active"/>
    <x v="0"/>
  </r>
  <r>
    <n v="107"/>
    <x v="6"/>
    <x v="3"/>
    <x v="0"/>
    <n v="52000"/>
    <n v="7500"/>
    <d v="1997-05-09T00:00:00"/>
    <x v="6"/>
    <x v="6"/>
    <n v="4.7"/>
    <s v="rohan@gmail.com"/>
    <s v="Active"/>
    <x v="1"/>
  </r>
  <r>
    <n v="108"/>
    <x v="7"/>
    <x v="1"/>
    <x v="1"/>
    <n v="58000"/>
    <n v="3500"/>
    <d v="1996-01-25T00:00:00"/>
    <x v="7"/>
    <x v="7"/>
    <n v="3.9"/>
    <s v="pooja@gmail.com"/>
    <s v="Inactive"/>
    <x v="1"/>
  </r>
  <r>
    <n v="109"/>
    <x v="8"/>
    <x v="2"/>
    <x v="0"/>
    <n v="63000"/>
    <n v="5000"/>
    <d v="1995-06-14T00:00:00"/>
    <x v="8"/>
    <x v="8"/>
    <n v="4.0999999999999996"/>
    <s v="karan@gmail.com"/>
    <s v="Active"/>
    <x v="2"/>
  </r>
  <r>
    <n v="110"/>
    <x v="9"/>
    <x v="0"/>
    <x v="1"/>
    <n v="75000"/>
    <n v="8000"/>
    <d v="1992-10-03T00:00:00"/>
    <x v="9"/>
    <x v="9"/>
    <n v="4.9000000000000004"/>
    <s v="anjali@gmail.com"/>
    <s v="Active"/>
    <x v="4"/>
  </r>
  <r>
    <n v="111"/>
    <x v="10"/>
    <x v="3"/>
    <x v="2"/>
    <n v="45000"/>
    <n v="6500"/>
    <d v="1999-09-28T00:00:00"/>
    <x v="10"/>
    <x v="10"/>
    <n v="4.3"/>
    <s v="suresh@gmail.com"/>
    <s v="Active"/>
    <x v="3"/>
  </r>
  <r>
    <n v="112"/>
    <x v="11"/>
    <x v="1"/>
    <x v="0"/>
    <n v="57000"/>
    <n v="4000"/>
    <d v="1998-04-11T00:00:00"/>
    <x v="11"/>
    <x v="11"/>
    <n v="4"/>
    <s v="meena@gmail.com"/>
    <s v="Active"/>
    <x v="3"/>
  </r>
  <r>
    <n v="113"/>
    <x v="12"/>
    <x v="2"/>
    <x v="1"/>
    <n v="69000"/>
    <n v="5500"/>
    <d v="1994-02-20T00:00:00"/>
    <x v="12"/>
    <x v="12"/>
    <n v="4.5"/>
    <s v="akash@gmail.com"/>
    <s v="Active"/>
    <x v="2"/>
  </r>
  <r>
    <n v="114"/>
    <x v="13"/>
    <x v="3"/>
    <x v="0"/>
    <n v="51000"/>
    <n v="7000"/>
    <d v="1997-07-07T00:00:00"/>
    <x v="13"/>
    <x v="13"/>
    <n v="4.5999999999999996"/>
    <s v="kavita@gmail.com"/>
    <s v="Active"/>
    <x v="1"/>
  </r>
  <r>
    <n v="115"/>
    <x v="14"/>
    <x v="0"/>
    <x v="2"/>
    <n v="71000"/>
    <n v="6500"/>
    <d v="1993-01-19T00:00:00"/>
    <x v="14"/>
    <x v="14"/>
    <n v="4.7"/>
    <s v="manish@gmail.com"/>
    <s v="Active"/>
    <x v="4"/>
  </r>
  <r>
    <n v="116"/>
    <x v="15"/>
    <x v="1"/>
    <x v="1"/>
    <n v="54000"/>
    <n v="3000"/>
    <d v="1999-11-26T00:00:00"/>
    <x v="15"/>
    <x v="15"/>
    <n v="3.8"/>
    <s v="riya@gmail.com"/>
    <s v="Inactive"/>
    <x v="5"/>
  </r>
  <r>
    <n v="117"/>
    <x v="16"/>
    <x v="2"/>
    <x v="0"/>
    <n v="61000"/>
    <n v="4500"/>
    <d v="1996-05-16T00:00:00"/>
    <x v="16"/>
    <x v="16"/>
    <n v="4.2"/>
    <s v="deepak@gmail.com"/>
    <s v="Active"/>
    <x v="0"/>
  </r>
  <r>
    <n v="118"/>
    <x v="17"/>
    <x v="3"/>
    <x v="1"/>
    <n v="49000"/>
    <n v="6000"/>
    <d v="1998-12-08T00:00:00"/>
    <x v="17"/>
    <x v="17"/>
    <n v="4.4000000000000004"/>
    <s v="swati@gmail.com"/>
    <s v="Active"/>
    <x v="3"/>
  </r>
  <r>
    <n v="119"/>
    <x v="18"/>
    <x v="0"/>
    <x v="0"/>
    <n v="67000"/>
    <n v="5500"/>
    <d v="1995-03-21T00:00:00"/>
    <x v="18"/>
    <x v="18"/>
    <n v="4.3"/>
    <s v="nikhil@gmail.com"/>
    <s v="Active"/>
    <x v="0"/>
  </r>
  <r>
    <n v="120"/>
    <x v="19"/>
    <x v="1"/>
    <x v="2"/>
    <n v="56000"/>
    <n v="3500"/>
    <d v="1997-09-13T00:00:00"/>
    <x v="19"/>
    <x v="19"/>
    <n v="4.0999999999999996"/>
    <s v="aarti@gmail.com"/>
    <s v="Activ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61A8C3-DC8B-44B1-842B-C67DAA1EA798}" name="PivotTable1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6:O7" firstHeaderRow="1" firstDataRow="1" firstDataCol="0" rowPageCount="2" colPageCount="1"/>
  <pivotFields count="13">
    <pivotField showAll="0"/>
    <pivotField showAll="0"/>
    <pivotField axis="axisPage" showAll="0">
      <items count="5">
        <item x="2"/>
        <item x="1"/>
        <item x="0"/>
        <item x="3"/>
        <item t="default"/>
      </items>
    </pivotField>
    <pivotField axis="axisPage" showAll="0">
      <items count="5">
        <item x="1"/>
        <item x="3"/>
        <item x="2"/>
        <item x="0"/>
        <item t="default"/>
      </items>
    </pivotField>
    <pivotField showAll="0"/>
    <pivotField showAll="0"/>
    <pivotField numFmtId="14" showAll="0"/>
    <pivotField numFmtId="14" showAll="0"/>
    <pivotField dataField="1" showAll="0">
      <items count="21">
        <item x="15"/>
        <item x="1"/>
        <item x="19"/>
        <item x="7"/>
        <item x="11"/>
        <item x="3"/>
        <item x="16"/>
        <item x="8"/>
        <item x="0"/>
        <item x="12"/>
        <item x="5"/>
        <item x="18"/>
        <item x="10"/>
        <item x="14"/>
        <item x="2"/>
        <item x="13"/>
        <item x="6"/>
        <item x="17"/>
        <item x="4"/>
        <item x="9"/>
        <item t="default"/>
      </items>
    </pivotField>
    <pivotField showAll="0"/>
    <pivotField showAll="0"/>
    <pivotField showAll="0"/>
    <pivotField showAll="0"/>
  </pivotFields>
  <rowItems count="1">
    <i/>
  </rowItems>
  <colItems count="1">
    <i/>
  </colItems>
  <pageFields count="2">
    <pageField fld="3" item="3" hier="-1"/>
    <pageField fld="2" item="2" hier="-1"/>
  </pageField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AD3AA0-36DD-4642-85C5-5DDA3B77BABB}" name="PivotTable1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4:C44" firstHeaderRow="1" firstDataRow="1" firstDataCol="1"/>
  <pivotFields count="13">
    <pivotField showAll="0"/>
    <pivotField axis="axisRow" showAll="0">
      <items count="21">
        <item x="19"/>
        <item x="12"/>
        <item x="0"/>
        <item x="9"/>
        <item x="16"/>
        <item x="8"/>
        <item x="13"/>
        <item x="14"/>
        <item x="11"/>
        <item x="5"/>
        <item x="18"/>
        <item x="7"/>
        <item x="1"/>
        <item x="2"/>
        <item x="15"/>
        <item x="6"/>
        <item x="3"/>
        <item x="10"/>
        <item x="17"/>
        <item x="4"/>
        <item t="default"/>
      </items>
    </pivotField>
    <pivotField showAll="0"/>
    <pivotField axis="axisRow" showAll="0">
      <items count="5">
        <item h="1" x="1"/>
        <item h="1" x="3"/>
        <item h="1" x="2"/>
        <item x="0"/>
        <item t="default"/>
      </items>
    </pivotField>
    <pivotField showAll="0"/>
    <pivotField showAll="0"/>
    <pivotField numFmtId="14" showAll="0"/>
    <pivotField numFmtId="14" showAll="0"/>
    <pivotField showAll="0"/>
    <pivotField showAll="0"/>
    <pivotField showAll="0"/>
    <pivotField showAll="0"/>
    <pivotField showAll="0"/>
  </pivotFields>
  <rowFields count="2">
    <field x="3"/>
    <field x="1"/>
  </rowFields>
  <rowItems count="10">
    <i>
      <x v="3"/>
    </i>
    <i r="1">
      <x v="2"/>
    </i>
    <i r="1">
      <x v="4"/>
    </i>
    <i r="1">
      <x v="5"/>
    </i>
    <i r="1">
      <x v="6"/>
    </i>
    <i r="1">
      <x v="8"/>
    </i>
    <i r="1">
      <x v="10"/>
    </i>
    <i r="1">
      <x v="13"/>
    </i>
    <i r="1">
      <x v="1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FF707F-0636-4952-9531-AFDF81F73A07}" name="PivotTable12" cacheId="26"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A34:A38" firstHeaderRow="1" firstDataRow="1" firstDataCol="1"/>
  <pivotFields count="13">
    <pivotField showAll="0"/>
    <pivotField axis="axisRow" showAll="0">
      <items count="21">
        <item x="19"/>
        <item x="12"/>
        <item x="0"/>
        <item x="9"/>
        <item x="16"/>
        <item x="8"/>
        <item x="13"/>
        <item x="14"/>
        <item x="11"/>
        <item x="5"/>
        <item x="18"/>
        <item x="7"/>
        <item x="1"/>
        <item x="2"/>
        <item x="15"/>
        <item x="6"/>
        <item x="3"/>
        <item x="10"/>
        <item x="17"/>
        <item x="4"/>
        <item t="default"/>
      </items>
    </pivotField>
    <pivotField showAll="0"/>
    <pivotField showAll="0">
      <items count="5">
        <item h="1" x="1"/>
        <item h="1" x="3"/>
        <item h="1" x="2"/>
        <item x="0"/>
        <item t="default"/>
      </items>
    </pivotField>
    <pivotField showAll="0"/>
    <pivotField showAll="0"/>
    <pivotField numFmtId="14" showAll="0"/>
    <pivotField numFmtId="14" showAll="0"/>
    <pivotField showAll="0"/>
    <pivotField showAll="0"/>
    <pivotField showAll="0"/>
    <pivotField showAll="0"/>
    <pivotField axis="axisRow" showAll="0">
      <items count="7">
        <item h="1" x="4"/>
        <item h="1" x="2"/>
        <item h="1" x="0"/>
        <item x="1"/>
        <item h="1" x="3"/>
        <item h="1" x="5"/>
        <item t="default"/>
      </items>
    </pivotField>
  </pivotFields>
  <rowFields count="2">
    <field x="12"/>
    <field x="1"/>
  </rowFields>
  <rowItems count="4">
    <i>
      <x v="3"/>
    </i>
    <i r="1">
      <x v="6"/>
    </i>
    <i r="1">
      <x v="1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8725A7-085D-4704-AE39-3038A2217761}"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9:J30" firstHeaderRow="1" firstDataRow="1" firstDataCol="0" rowPageCount="1" colPageCount="1"/>
  <pivotFields count="13">
    <pivotField showAll="0"/>
    <pivotField showAll="0"/>
    <pivotField axis="axisPage" showAll="0">
      <items count="5">
        <item x="2"/>
        <item x="1"/>
        <item x="0"/>
        <item x="3"/>
        <item t="default"/>
      </items>
    </pivotField>
    <pivotField showAll="0"/>
    <pivotField dataField="1" showAll="0"/>
    <pivotField showAll="0"/>
    <pivotField numFmtId="14" showAll="0"/>
    <pivotField numFmtId="14" showAll="0"/>
    <pivotField showAll="0"/>
    <pivotField showAll="0"/>
    <pivotField showAll="0"/>
    <pivotField showAll="0"/>
    <pivotField showAll="0"/>
  </pivotFields>
  <rowItems count="1">
    <i/>
  </rowItems>
  <colItems count="1">
    <i/>
  </colItems>
  <pageFields count="1">
    <pageField fld="2" item="0" hier="-1"/>
  </pageFields>
  <dataFields count="1">
    <dataField name="Min of Salary" fld="4"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99C29C-6F68-456B-B015-5AEF051FA62F}"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9:G30" firstHeaderRow="1" firstDataRow="1" firstDataCol="0" rowPageCount="1" colPageCount="1"/>
  <pivotFields count="13">
    <pivotField showAll="0"/>
    <pivotField showAll="0"/>
    <pivotField axis="axisPage" showAll="0">
      <items count="5">
        <item x="2"/>
        <item x="1"/>
        <item x="0"/>
        <item x="3"/>
        <item t="default"/>
      </items>
    </pivotField>
    <pivotField showAll="0"/>
    <pivotField dataField="1" showAll="0"/>
    <pivotField showAll="0"/>
    <pivotField numFmtId="14" showAll="0"/>
    <pivotField numFmtId="14" showAll="0"/>
    <pivotField showAll="0"/>
    <pivotField showAll="0"/>
    <pivotField showAll="0"/>
    <pivotField showAll="0"/>
    <pivotField showAll="0"/>
  </pivotFields>
  <rowItems count="1">
    <i/>
  </rowItems>
  <colItems count="1">
    <i/>
  </colItems>
  <pageFields count="1">
    <pageField fld="2" item="0" hier="-1"/>
  </pageFields>
  <dataFields count="1">
    <dataField name="Max of Salary" fld="4"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68B443-78D7-4B5B-881B-5B8F5C3D1AFC}"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9:D30" firstHeaderRow="1" firstDataRow="1" firstDataCol="0" rowPageCount="1" colPageCount="1"/>
  <pivotFields count="13">
    <pivotField showAll="0"/>
    <pivotField showAll="0"/>
    <pivotField axis="axisPage" showAll="0">
      <items count="5">
        <item x="2"/>
        <item x="1"/>
        <item x="0"/>
        <item x="3"/>
        <item t="default"/>
      </items>
    </pivotField>
    <pivotField showAll="0"/>
    <pivotField dataField="1" showAll="0"/>
    <pivotField showAll="0"/>
    <pivotField numFmtId="14" showAll="0"/>
    <pivotField numFmtId="14" showAll="0"/>
    <pivotField showAll="0"/>
    <pivotField showAll="0"/>
    <pivotField showAll="0"/>
    <pivotField showAll="0"/>
    <pivotField showAll="0"/>
  </pivotFields>
  <rowItems count="1">
    <i/>
  </rowItems>
  <colItems count="1">
    <i/>
  </colItems>
  <pageFields count="1">
    <pageField fld="2" item="0" hier="-1"/>
  </pageFields>
  <dataFields count="1">
    <dataField name="Average of Salary"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F3C165-85CF-4A62-ACA7-41C30713386D}"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A30" firstHeaderRow="1" firstDataRow="1" firstDataCol="0" rowPageCount="1" colPageCount="1"/>
  <pivotFields count="13">
    <pivotField showAll="0"/>
    <pivotField showAll="0"/>
    <pivotField axis="axisPage" showAll="0">
      <items count="5">
        <item x="2"/>
        <item x="1"/>
        <item x="0"/>
        <item x="3"/>
        <item t="default"/>
      </items>
    </pivotField>
    <pivotField showAll="0"/>
    <pivotField dataField="1" showAll="0"/>
    <pivotField showAll="0"/>
    <pivotField numFmtId="14" showAll="0"/>
    <pivotField numFmtId="14" showAll="0"/>
    <pivotField showAll="0"/>
    <pivotField showAll="0"/>
    <pivotField showAll="0"/>
    <pivotField showAll="0"/>
    <pivotField showAll="0"/>
  </pivotFields>
  <rowItems count="1">
    <i/>
  </rowItems>
  <colItems count="1">
    <i/>
  </colItems>
  <pageFields count="1">
    <pageField fld="2" item="0" hier="-1"/>
  </pageFields>
  <dataFields count="1">
    <dataField name="Sum of Salar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ining_Year" xr10:uid="{36BC6075-CF90-47A9-A50E-2348136CEEC5}" sourceName="Joining Year">
  <pivotTables>
    <pivotTable tabId="6" name="PivotTable12"/>
  </pivotTables>
  <data>
    <tabular pivotCacheId="1125506767">
      <items count="6">
        <i x="2"/>
        <i x="0"/>
        <i x="1" s="1"/>
        <i x="3"/>
        <i x="4" nd="1"/>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02D1C2CD-CD87-4FF9-A7FB-3FF49DE5434A}" sourceName="Name">
  <pivotTables>
    <pivotTable tabId="6" name="PivotTable12"/>
  </pivotTables>
  <data>
    <tabular pivotCacheId="1125506767">
      <items count="20">
        <i x="13" s="1"/>
        <i x="6" s="1"/>
        <i x="19" s="1" nd="1"/>
        <i x="12" s="1" nd="1"/>
        <i x="0" s="1" nd="1"/>
        <i x="9" s="1" nd="1"/>
        <i x="16" s="1" nd="1"/>
        <i x="8" s="1" nd="1"/>
        <i x="14" s="1" nd="1"/>
        <i x="11" s="1" nd="1"/>
        <i x="5" s="1" nd="1"/>
        <i x="18" s="1" nd="1"/>
        <i x="7" s="1" nd="1"/>
        <i x="1" s="1" nd="1"/>
        <i x="2" s="1" nd="1"/>
        <i x="15" s="1" nd="1"/>
        <i x="3" s="1" nd="1"/>
        <i x="10" s="1" nd="1"/>
        <i x="17"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EEA8F0D-F15F-4F1B-BA8F-D293D2178274}" sourceName="City">
  <pivotTables>
    <pivotTable tabId="6" name="PivotTable13"/>
    <pivotTable tabId="6" name="PivotTable12"/>
  </pivotTables>
  <data>
    <tabular pivotCacheId="1125506767">
      <items count="4">
        <i x="1"/>
        <i x="3"/>
        <i x="2"/>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EB60B4F-7ED0-4F2B-A8DB-1011EB1070DE}" sourceName="Department">
  <pivotTables>
    <pivotTable tabId="6" name="PivotTable14"/>
  </pivotTables>
  <data>
    <tabular pivotCacheId="1125506767">
      <items count="4">
        <i x="2"/>
        <i x="1"/>
        <i x="0" s="1"/>
        <i x="3"/>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1676E126-1357-499F-9932-06EE13F34580}" sourceName="City">
  <pivotTables>
    <pivotTable tabId="6" name="PivotTable14"/>
  </pivotTables>
  <data>
    <tabular pivotCacheId="1125506767">
      <items count="4">
        <i x="1"/>
        <i x="3"/>
        <i x="2"/>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26FE0268-D78D-4F83-9C52-3A7F2A1DB72E}" sourceName="Sales">
  <pivotTables>
    <pivotTable tabId="6" name="PivotTable14"/>
  </pivotTables>
  <data>
    <tabular pivotCacheId="1125506767">
      <items count="20">
        <i x="0" s="1"/>
        <i x="18" s="1"/>
        <i x="2" s="1"/>
        <i x="15" s="1" nd="1"/>
        <i x="1" s="1" nd="1"/>
        <i x="19" s="1" nd="1"/>
        <i x="7" s="1" nd="1"/>
        <i x="11" s="1" nd="1"/>
        <i x="3" s="1" nd="1"/>
        <i x="16" s="1" nd="1"/>
        <i x="8" s="1" nd="1"/>
        <i x="12" s="1" nd="1"/>
        <i x="5" s="1" nd="1"/>
        <i x="10" s="1" nd="1"/>
        <i x="14" s="1" nd="1"/>
        <i x="13" s="1" nd="1"/>
        <i x="6" s="1" nd="1"/>
        <i x="17" s="1" nd="1"/>
        <i x="4"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ining Year" xr10:uid="{D412C5AB-13BB-4F4A-B9FD-F0339060494B}" cache="Slicer_Joining_Year" caption="Joining Year" rowHeight="241300"/>
  <slicer name="Name" xr10:uid="{5F4F8D9E-15C6-4D68-A791-7F494E602E81}" cache="Slicer_Name" caption="Name" rowHeight="241300"/>
  <slicer name="City" xr10:uid="{53864BEF-65E4-4457-BEDD-2EE0AC9C843D}" cache="Slicer_City" caption="City" rowHeight="241300"/>
  <slicer name="Department" xr10:uid="{9FDDFF00-A096-4441-A768-55CBA5E46FBC}" cache="Slicer_Department" caption="Department" rowHeight="241300"/>
  <slicer name="City 1" xr10:uid="{D536A956-4533-4611-94E0-92C461EA4FD4}" cache="Slicer_City1" caption="City" rowHeight="241300"/>
  <slicer name="Sales" xr10:uid="{624D2592-AD43-4640-8072-4F95F811DB71}" cache="Slicer_Sales" caption="Sale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EA2018-1463-436C-BF14-9168AD280F35}" name="Table1" displayName="Table1" ref="D3:H15" totalsRowShown="0">
  <autoFilter ref="D3:H15" xr:uid="{A3EA2018-1463-436C-BF14-9168AD280F35}"/>
  <sortState xmlns:xlrd2="http://schemas.microsoft.com/office/spreadsheetml/2017/richdata2" ref="D4:H6">
    <sortCondition ref="H3:H6"/>
  </sortState>
  <tableColumns count="5">
    <tableColumn id="1" xr3:uid="{D2E57869-C090-4D94-8968-83D8367D85DB}" name="EmpID"/>
    <tableColumn id="2" xr3:uid="{7B8ADDAB-A15D-43AC-A7F9-2BD21F24828F}" name="FirstName"/>
    <tableColumn id="3" xr3:uid="{695F0B52-802F-43A4-AF85-7D12A4CC6709}" name="LastName"/>
    <tableColumn id="4" xr3:uid="{804F54D3-F39D-4B49-B419-220C7A9ED9E5}" name="DOB" dataDxfId="1"/>
    <tableColumn id="5" xr3:uid="{F41E3924-4816-4E4E-A93C-60FD2B90DBED}" name="Salary"/>
  </tableColumns>
  <tableStyleInfo name="TableStyleDark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9BE9B6-CAD3-4BB1-8C60-C67E3ED1D8DB}" name="hr_table2" displayName="hr_table2" ref="A4:M24" totalsRowShown="0" headerRowDxfId="14">
  <autoFilter ref="A4:M24" xr:uid="{509BE9B6-CAD3-4BB1-8C60-C67E3ED1D8DB}">
    <filterColumn colId="2">
      <filters>
        <filter val="IT"/>
      </filters>
    </filterColumn>
    <filterColumn colId="3">
      <filters>
        <filter val="Pune"/>
      </filters>
    </filterColumn>
  </autoFilter>
  <tableColumns count="13">
    <tableColumn id="1" xr3:uid="{99B386C9-A901-4E31-9307-DA3B3C493A5B}" name="ID" dataDxfId="13"/>
    <tableColumn id="2" xr3:uid="{B642DF09-B3BB-410D-8B8C-FB4F066DD643}" name="Name" dataDxfId="12"/>
    <tableColumn id="3" xr3:uid="{5D43EA06-8B1E-4D30-B49A-7A8B37B83876}" name="Department" dataDxfId="11"/>
    <tableColumn id="4" xr3:uid="{6ACDFEEB-BF02-4657-901B-08477E7AD5B8}" name="City" dataDxfId="10"/>
    <tableColumn id="5" xr3:uid="{059D10BB-24F2-4925-92B3-F9A9D32BF4FA}" name="Salary" dataDxfId="9"/>
    <tableColumn id="6" xr3:uid="{D0EC3720-0477-46B8-AB0A-CE512D0D3DD2}" name="Bonus" dataDxfId="8"/>
    <tableColumn id="7" xr3:uid="{4CA13C2B-C07E-4C93-929F-62CD56F0186A}" name="DOB" dataDxfId="7"/>
    <tableColumn id="8" xr3:uid="{B915856D-D857-4EB5-9998-35F34346E2B6}" name="Joining Date" dataDxfId="6"/>
    <tableColumn id="9" xr3:uid="{34D27B22-D2B9-402A-8EC1-3152925EF06B}" name="Sales" dataDxfId="5"/>
    <tableColumn id="10" xr3:uid="{512D1F0A-1504-43C3-974E-B708D36F612D}" name="Rating" dataDxfId="4"/>
    <tableColumn id="11" xr3:uid="{9781F403-6CE7-4E98-8D10-369DACC4E120}" name="Email" dataDxfId="3" dataCellStyle="Hyperlink"/>
    <tableColumn id="12" xr3:uid="{B553F3AD-5A9F-4C28-B38E-6A5527428B7F}" name="Status" dataDxfId="2"/>
    <tableColumn id="13" xr3:uid="{A599C75E-D439-4007-80A4-8D5055A1E440}" name="Joining Year" dataDxfId="0">
      <calculatedColumnFormula>YEAR(hr_table2[[#This Row],[Joining Date]])</calculatedColumnFormula>
    </tableColumn>
  </tableColumns>
  <tableStyleInfo name="TableStyleMedium2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hyperlink" Target="mailto:amit@gmail.com" TargetMode="External"/><Relationship Id="rId13" Type="http://schemas.openxmlformats.org/officeDocument/2006/relationships/hyperlink" Target="mailto:neha@gmail.com" TargetMode="External"/><Relationship Id="rId18" Type="http://schemas.openxmlformats.org/officeDocument/2006/relationships/hyperlink" Target="mailto:suresh@gmail.com" TargetMode="External"/><Relationship Id="rId26" Type="http://schemas.openxmlformats.org/officeDocument/2006/relationships/hyperlink" Target="mailto:nikhil@gmail.com" TargetMode="External"/><Relationship Id="rId3" Type="http://schemas.openxmlformats.org/officeDocument/2006/relationships/pivotTable" Target="../pivotTables/pivotTable3.xml"/><Relationship Id="rId21" Type="http://schemas.openxmlformats.org/officeDocument/2006/relationships/hyperlink" Target="mailto:kavita@gmail.com" TargetMode="External"/><Relationship Id="rId7" Type="http://schemas.openxmlformats.org/officeDocument/2006/relationships/pivotTable" Target="../pivotTables/pivotTable7.xml"/><Relationship Id="rId12" Type="http://schemas.openxmlformats.org/officeDocument/2006/relationships/hyperlink" Target="mailto:vikram@gmail.com" TargetMode="External"/><Relationship Id="rId17" Type="http://schemas.openxmlformats.org/officeDocument/2006/relationships/hyperlink" Target="mailto:anjali@gmail.com" TargetMode="External"/><Relationship Id="rId25" Type="http://schemas.openxmlformats.org/officeDocument/2006/relationships/hyperlink" Target="mailto:swati@gmail.com" TargetMode="External"/><Relationship Id="rId2" Type="http://schemas.openxmlformats.org/officeDocument/2006/relationships/pivotTable" Target="../pivotTables/pivotTable2.xml"/><Relationship Id="rId16" Type="http://schemas.openxmlformats.org/officeDocument/2006/relationships/hyperlink" Target="mailto:karan@gmail.com" TargetMode="External"/><Relationship Id="rId20" Type="http://schemas.openxmlformats.org/officeDocument/2006/relationships/hyperlink" Target="mailto:akash@gmail.com" TargetMode="External"/><Relationship Id="rId29"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hyperlink" Target="mailto:sneha@gmail.com" TargetMode="External"/><Relationship Id="rId24" Type="http://schemas.openxmlformats.org/officeDocument/2006/relationships/hyperlink" Target="mailto:deepak@gmail.com" TargetMode="External"/><Relationship Id="rId5" Type="http://schemas.openxmlformats.org/officeDocument/2006/relationships/pivotTable" Target="../pivotTables/pivotTable5.xml"/><Relationship Id="rId15" Type="http://schemas.openxmlformats.org/officeDocument/2006/relationships/hyperlink" Target="mailto:pooja@gmail.com" TargetMode="External"/><Relationship Id="rId23" Type="http://schemas.openxmlformats.org/officeDocument/2006/relationships/hyperlink" Target="mailto:riya@gmail.com" TargetMode="External"/><Relationship Id="rId28" Type="http://schemas.openxmlformats.org/officeDocument/2006/relationships/printerSettings" Target="../printerSettings/printerSettings1.bin"/><Relationship Id="rId10" Type="http://schemas.openxmlformats.org/officeDocument/2006/relationships/hyperlink" Target="mailto:rahul@gmail.com" TargetMode="External"/><Relationship Id="rId19" Type="http://schemas.openxmlformats.org/officeDocument/2006/relationships/hyperlink" Target="mailto:meena@gmail.com" TargetMode="External"/><Relationship Id="rId31"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hyperlink" Target="mailto:priya@gmail.com" TargetMode="External"/><Relationship Id="rId14" Type="http://schemas.openxmlformats.org/officeDocument/2006/relationships/hyperlink" Target="mailto:rohan@gmail.com" TargetMode="External"/><Relationship Id="rId22" Type="http://schemas.openxmlformats.org/officeDocument/2006/relationships/hyperlink" Target="mailto:manish@gmail.com" TargetMode="External"/><Relationship Id="rId27" Type="http://schemas.openxmlformats.org/officeDocument/2006/relationships/hyperlink" Target="mailto:aarti@gmail.com" TargetMode="External"/><Relationship Id="rId30"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ABD73-F849-4972-B40F-0934E3F50DA1}">
  <dimension ref="A1:G9"/>
  <sheetViews>
    <sheetView zoomScale="183" workbookViewId="0">
      <selection activeCell="B8" sqref="B8"/>
    </sheetView>
  </sheetViews>
  <sheetFormatPr defaultRowHeight="14.5" x14ac:dyDescent="0.35"/>
  <cols>
    <col min="4" max="4" width="12.1796875" customWidth="1"/>
    <col min="5" max="5" width="12.26953125" customWidth="1"/>
    <col min="6" max="6" width="10.08984375" bestFit="1" customWidth="1"/>
  </cols>
  <sheetData>
    <row r="1" spans="1:7" s="2" customFormat="1" x14ac:dyDescent="0.35">
      <c r="A1" s="2" t="s">
        <v>0</v>
      </c>
    </row>
    <row r="3" spans="1:7" x14ac:dyDescent="0.35">
      <c r="C3" s="4" t="s">
        <v>1</v>
      </c>
      <c r="D3" s="4" t="s">
        <v>2</v>
      </c>
      <c r="E3" s="4" t="s">
        <v>3</v>
      </c>
      <c r="F3" s="4" t="s">
        <v>4</v>
      </c>
      <c r="G3" s="4" t="s">
        <v>5</v>
      </c>
    </row>
    <row r="4" spans="1:7" x14ac:dyDescent="0.35">
      <c r="C4" s="3" t="s">
        <v>6</v>
      </c>
      <c r="D4" s="3" t="s">
        <v>16</v>
      </c>
      <c r="E4" s="3" t="s">
        <v>17</v>
      </c>
      <c r="F4" s="5">
        <v>32955</v>
      </c>
      <c r="G4" s="3">
        <v>50000</v>
      </c>
    </row>
    <row r="5" spans="1:7" x14ac:dyDescent="0.35">
      <c r="C5" s="3" t="s">
        <v>7</v>
      </c>
      <c r="D5" s="3" t="s">
        <v>18</v>
      </c>
      <c r="E5" s="3" t="s">
        <v>19</v>
      </c>
      <c r="F5" s="5">
        <v>36872</v>
      </c>
      <c r="G5" s="3">
        <v>23000</v>
      </c>
    </row>
    <row r="6" spans="1:7" x14ac:dyDescent="0.35">
      <c r="C6" s="3" t="s">
        <v>8</v>
      </c>
      <c r="D6" s="3" t="s">
        <v>20</v>
      </c>
      <c r="E6" s="3" t="s">
        <v>21</v>
      </c>
      <c r="F6" s="5">
        <v>37257</v>
      </c>
      <c r="G6" s="3">
        <v>20000</v>
      </c>
    </row>
    <row r="7" spans="1:7" x14ac:dyDescent="0.35">
      <c r="C7" s="3" t="s">
        <v>9</v>
      </c>
      <c r="D7" s="3" t="s">
        <v>22</v>
      </c>
      <c r="E7" s="3" t="s">
        <v>23</v>
      </c>
      <c r="F7" s="5">
        <v>34822</v>
      </c>
      <c r="G7" s="3">
        <v>35000</v>
      </c>
    </row>
    <row r="8" spans="1:7" x14ac:dyDescent="0.35">
      <c r="C8" s="3" t="s">
        <v>10</v>
      </c>
      <c r="D8" s="3" t="s">
        <v>24</v>
      </c>
      <c r="E8" s="3" t="s">
        <v>25</v>
      </c>
      <c r="F8" s="5">
        <v>35922</v>
      </c>
      <c r="G8" s="3">
        <v>40000</v>
      </c>
    </row>
    <row r="9" spans="1:7" x14ac:dyDescent="0.35">
      <c r="C9" s="3" t="s">
        <v>11</v>
      </c>
      <c r="D9" s="3" t="s">
        <v>26</v>
      </c>
      <c r="E9" s="3" t="s">
        <v>27</v>
      </c>
      <c r="F9" s="5">
        <v>38659</v>
      </c>
      <c r="G9" s="3">
        <v>15000</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23529-C193-48F4-BF85-70F5DF9C6170}">
  <dimension ref="B1:H15"/>
  <sheetViews>
    <sheetView topLeftCell="D4" zoomScale="242" workbookViewId="0">
      <selection activeCell="I10" sqref="I10"/>
    </sheetView>
  </sheetViews>
  <sheetFormatPr defaultRowHeight="14.5" x14ac:dyDescent="0.35"/>
  <cols>
    <col min="4" max="4" width="9.1796875" customWidth="1"/>
    <col min="5" max="5" width="11" customWidth="1"/>
    <col min="6" max="6" width="10.6328125" customWidth="1"/>
    <col min="7" max="7" width="10.90625" customWidth="1"/>
  </cols>
  <sheetData>
    <row r="1" spans="2:8" s="6" customFormat="1" x14ac:dyDescent="0.35">
      <c r="B1" s="6" t="s">
        <v>28</v>
      </c>
    </row>
    <row r="3" spans="2:8" x14ac:dyDescent="0.35">
      <c r="D3" t="s">
        <v>1</v>
      </c>
      <c r="E3" t="s">
        <v>2</v>
      </c>
      <c r="F3" t="s">
        <v>3</v>
      </c>
      <c r="G3" t="s">
        <v>4</v>
      </c>
      <c r="H3" t="s">
        <v>5</v>
      </c>
    </row>
    <row r="4" spans="2:8" x14ac:dyDescent="0.35">
      <c r="D4" t="s">
        <v>6</v>
      </c>
      <c r="E4" t="s">
        <v>18</v>
      </c>
      <c r="F4" t="s">
        <v>29</v>
      </c>
      <c r="G4" s="1">
        <v>36548</v>
      </c>
      <c r="H4">
        <v>34000</v>
      </c>
    </row>
    <row r="5" spans="2:8" x14ac:dyDescent="0.35">
      <c r="D5" t="s">
        <v>7</v>
      </c>
      <c r="E5" t="s">
        <v>30</v>
      </c>
      <c r="F5" t="s">
        <v>31</v>
      </c>
      <c r="G5" s="1">
        <v>37077</v>
      </c>
      <c r="H5">
        <v>67000</v>
      </c>
    </row>
    <row r="6" spans="2:8" x14ac:dyDescent="0.35">
      <c r="D6" t="s">
        <v>8</v>
      </c>
      <c r="E6" t="s">
        <v>32</v>
      </c>
      <c r="F6" t="s">
        <v>33</v>
      </c>
      <c r="G6" s="1">
        <v>35927</v>
      </c>
      <c r="H6">
        <v>190000</v>
      </c>
    </row>
    <row r="7" spans="2:8" x14ac:dyDescent="0.35">
      <c r="D7" t="s">
        <v>9</v>
      </c>
      <c r="E7" t="s">
        <v>18</v>
      </c>
      <c r="F7" t="s">
        <v>29</v>
      </c>
      <c r="G7" s="1">
        <v>36548</v>
      </c>
      <c r="H7">
        <v>253000</v>
      </c>
    </row>
    <row r="8" spans="2:8" x14ac:dyDescent="0.35">
      <c r="D8" t="s">
        <v>10</v>
      </c>
      <c r="E8" t="s">
        <v>30</v>
      </c>
      <c r="F8" t="s">
        <v>31</v>
      </c>
      <c r="G8" s="1">
        <v>37077</v>
      </c>
      <c r="H8">
        <v>331000</v>
      </c>
    </row>
    <row r="9" spans="2:8" x14ac:dyDescent="0.35">
      <c r="D9" t="s">
        <v>11</v>
      </c>
      <c r="E9" t="s">
        <v>32</v>
      </c>
      <c r="F9" t="s">
        <v>33</v>
      </c>
      <c r="G9" s="1">
        <v>35927</v>
      </c>
      <c r="H9">
        <v>409000</v>
      </c>
    </row>
    <row r="10" spans="2:8" x14ac:dyDescent="0.35">
      <c r="D10" t="s">
        <v>12</v>
      </c>
      <c r="E10" t="s">
        <v>18</v>
      </c>
      <c r="F10" t="s">
        <v>29</v>
      </c>
      <c r="G10" s="1">
        <v>36548</v>
      </c>
      <c r="H10">
        <v>487000</v>
      </c>
    </row>
    <row r="11" spans="2:8" x14ac:dyDescent="0.35">
      <c r="D11" t="s">
        <v>13</v>
      </c>
      <c r="E11" t="s">
        <v>30</v>
      </c>
      <c r="F11" t="s">
        <v>31</v>
      </c>
      <c r="G11" s="1">
        <v>37077</v>
      </c>
      <c r="H11">
        <v>565000</v>
      </c>
    </row>
    <row r="12" spans="2:8" x14ac:dyDescent="0.35">
      <c r="D12" t="s">
        <v>14</v>
      </c>
      <c r="E12" t="s">
        <v>18</v>
      </c>
      <c r="F12" t="s">
        <v>29</v>
      </c>
      <c r="G12" s="1">
        <v>36548</v>
      </c>
      <c r="H12">
        <v>643000</v>
      </c>
    </row>
    <row r="13" spans="2:8" x14ac:dyDescent="0.35">
      <c r="D13" t="s">
        <v>15</v>
      </c>
      <c r="E13" t="s">
        <v>18</v>
      </c>
      <c r="F13" t="s">
        <v>29</v>
      </c>
      <c r="G13" s="1">
        <v>36548</v>
      </c>
      <c r="H13">
        <v>721000</v>
      </c>
    </row>
    <row r="14" spans="2:8" x14ac:dyDescent="0.35">
      <c r="D14" t="s">
        <v>34</v>
      </c>
      <c r="E14" t="s">
        <v>30</v>
      </c>
      <c r="F14" t="s">
        <v>31</v>
      </c>
      <c r="G14" s="1">
        <v>37077</v>
      </c>
      <c r="H14">
        <v>799000</v>
      </c>
    </row>
    <row r="15" spans="2:8" x14ac:dyDescent="0.35">
      <c r="D15" t="s">
        <v>35</v>
      </c>
      <c r="E15" t="s">
        <v>32</v>
      </c>
      <c r="F15" t="s">
        <v>33</v>
      </c>
      <c r="G15" s="1">
        <v>35927</v>
      </c>
      <c r="H15">
        <v>877000</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E2165-C3A2-4C30-8D44-68D83B7EEDEE}">
  <dimension ref="A1:I8"/>
  <sheetViews>
    <sheetView zoomScale="177" workbookViewId="0">
      <selection activeCell="J11" sqref="J11"/>
    </sheetView>
  </sheetViews>
  <sheetFormatPr defaultRowHeight="14.5" x14ac:dyDescent="0.35"/>
  <sheetData>
    <row r="1" spans="1:9" x14ac:dyDescent="0.35">
      <c r="A1" s="7" t="s">
        <v>36</v>
      </c>
      <c r="B1" s="7" t="s">
        <v>37</v>
      </c>
      <c r="C1" s="7" t="s">
        <v>38</v>
      </c>
      <c r="D1" s="7" t="s">
        <v>39</v>
      </c>
      <c r="E1" s="7" t="s">
        <v>40</v>
      </c>
      <c r="F1" s="8" t="s">
        <v>48</v>
      </c>
      <c r="G1" s="8" t="s">
        <v>49</v>
      </c>
      <c r="H1" s="8" t="s">
        <v>50</v>
      </c>
      <c r="I1" s="8" t="s">
        <v>51</v>
      </c>
    </row>
    <row r="2" spans="1:9" x14ac:dyDescent="0.35">
      <c r="A2" s="3">
        <v>1</v>
      </c>
      <c r="B2" s="3" t="s">
        <v>41</v>
      </c>
      <c r="C2" s="3">
        <v>40</v>
      </c>
      <c r="D2" s="3">
        <v>5</v>
      </c>
      <c r="E2" s="3">
        <f>C2*D2</f>
        <v>200</v>
      </c>
      <c r="F2" s="3">
        <v>10</v>
      </c>
      <c r="G2" s="3">
        <f>E2-F2</f>
        <v>190</v>
      </c>
      <c r="H2" s="3">
        <v>5</v>
      </c>
      <c r="I2">
        <f>G2+((H2/100)*G2)</f>
        <v>199.5</v>
      </c>
    </row>
    <row r="3" spans="1:9" x14ac:dyDescent="0.35">
      <c r="A3" s="3">
        <v>2</v>
      </c>
      <c r="B3" s="3" t="s">
        <v>42</v>
      </c>
      <c r="C3" s="3">
        <v>70</v>
      </c>
      <c r="D3" s="3">
        <v>5</v>
      </c>
      <c r="E3" s="3">
        <f>C3*D3</f>
        <v>350</v>
      </c>
      <c r="F3" s="3">
        <v>10</v>
      </c>
      <c r="G3" s="3">
        <f t="shared" ref="G3:G8" si="0">E3-F3</f>
        <v>340</v>
      </c>
      <c r="H3" s="3">
        <v>5</v>
      </c>
      <c r="I3">
        <f t="shared" ref="I3:I8" si="1">G3+((H3/100)*G3)</f>
        <v>357</v>
      </c>
    </row>
    <row r="4" spans="1:9" x14ac:dyDescent="0.35">
      <c r="A4" s="3">
        <v>3</v>
      </c>
      <c r="B4" s="3" t="s">
        <v>43</v>
      </c>
      <c r="C4" s="3">
        <v>120</v>
      </c>
      <c r="D4" s="3">
        <v>2</v>
      </c>
      <c r="E4" s="3">
        <f t="shared" ref="E4:E8" si="2">C4*D4</f>
        <v>240</v>
      </c>
      <c r="F4" s="3">
        <v>10</v>
      </c>
      <c r="G4" s="3">
        <f t="shared" si="0"/>
        <v>230</v>
      </c>
      <c r="H4" s="3">
        <v>5</v>
      </c>
      <c r="I4">
        <f t="shared" si="1"/>
        <v>241.5</v>
      </c>
    </row>
    <row r="5" spans="1:9" x14ac:dyDescent="0.35">
      <c r="A5" s="3">
        <v>4</v>
      </c>
      <c r="B5" s="3" t="s">
        <v>44</v>
      </c>
      <c r="C5" s="3">
        <v>500</v>
      </c>
      <c r="D5" s="3">
        <v>6</v>
      </c>
      <c r="E5" s="3">
        <f t="shared" si="2"/>
        <v>3000</v>
      </c>
      <c r="F5" s="3">
        <v>10</v>
      </c>
      <c r="G5" s="3">
        <f t="shared" si="0"/>
        <v>2990</v>
      </c>
      <c r="H5" s="3">
        <v>5</v>
      </c>
      <c r="I5">
        <f t="shared" si="1"/>
        <v>3139.5</v>
      </c>
    </row>
    <row r="6" spans="1:9" x14ac:dyDescent="0.35">
      <c r="A6" s="3">
        <v>5</v>
      </c>
      <c r="B6" s="3" t="s">
        <v>45</v>
      </c>
      <c r="C6" s="3">
        <v>2</v>
      </c>
      <c r="D6" s="3">
        <v>7000</v>
      </c>
      <c r="E6" s="3">
        <f t="shared" si="2"/>
        <v>14000</v>
      </c>
      <c r="F6" s="3">
        <v>10</v>
      </c>
      <c r="G6" s="3">
        <f t="shared" si="0"/>
        <v>13990</v>
      </c>
      <c r="H6" s="3">
        <v>5</v>
      </c>
      <c r="I6">
        <f t="shared" si="1"/>
        <v>14689.5</v>
      </c>
    </row>
    <row r="7" spans="1:9" x14ac:dyDescent="0.35">
      <c r="A7" s="3">
        <v>6</v>
      </c>
      <c r="B7" s="3" t="s">
        <v>46</v>
      </c>
      <c r="C7" s="3">
        <v>13</v>
      </c>
      <c r="D7" s="3">
        <v>340</v>
      </c>
      <c r="E7" s="3">
        <f t="shared" si="2"/>
        <v>4420</v>
      </c>
      <c r="F7" s="3">
        <v>10</v>
      </c>
      <c r="G7" s="3">
        <f t="shared" si="0"/>
        <v>4410</v>
      </c>
      <c r="H7" s="3">
        <v>5</v>
      </c>
      <c r="I7">
        <f t="shared" si="1"/>
        <v>4630.5</v>
      </c>
    </row>
    <row r="8" spans="1:9" x14ac:dyDescent="0.35">
      <c r="A8" s="3">
        <v>7</v>
      </c>
      <c r="B8" s="3" t="s">
        <v>47</v>
      </c>
      <c r="C8" s="3">
        <v>8</v>
      </c>
      <c r="D8" s="3">
        <v>754</v>
      </c>
      <c r="E8" s="3">
        <f t="shared" si="2"/>
        <v>6032</v>
      </c>
      <c r="F8" s="3">
        <v>10</v>
      </c>
      <c r="G8" s="3">
        <f t="shared" si="0"/>
        <v>6022</v>
      </c>
      <c r="H8" s="3">
        <v>5</v>
      </c>
      <c r="I8">
        <f t="shared" si="1"/>
        <v>6323.1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38171-23DF-43BE-A86A-6EA3FC482239}">
  <dimension ref="A1:P44"/>
  <sheetViews>
    <sheetView tabSelected="1" topLeftCell="N1" zoomScale="91" workbookViewId="0">
      <selection activeCell="P4" sqref="P4"/>
    </sheetView>
  </sheetViews>
  <sheetFormatPr defaultRowHeight="14.5" x14ac:dyDescent="0.35"/>
  <cols>
    <col min="1" max="1" width="12.81640625" bestFit="1" customWidth="1"/>
    <col min="2" max="2" width="9.81640625" bestFit="1" customWidth="1"/>
    <col min="3" max="3" width="12.81640625" bestFit="1" customWidth="1"/>
    <col min="4" max="4" width="15.36328125" bestFit="1" customWidth="1"/>
    <col min="5" max="5" width="9.81640625" bestFit="1" customWidth="1"/>
    <col min="6" max="6" width="15.26953125" bestFit="1" customWidth="1"/>
    <col min="7" max="7" width="12.1796875" bestFit="1" customWidth="1"/>
    <col min="8" max="8" width="14.90625" customWidth="1"/>
    <col min="9" max="9" width="15.26953125" bestFit="1" customWidth="1"/>
    <col min="10" max="10" width="11.90625" bestFit="1" customWidth="1"/>
    <col min="11" max="11" width="9.81640625" bestFit="1" customWidth="1"/>
    <col min="12" max="14" width="15.26953125" bestFit="1" customWidth="1"/>
    <col min="15" max="15" width="11.36328125" bestFit="1" customWidth="1"/>
    <col min="16" max="16" width="7.54296875" bestFit="1" customWidth="1"/>
    <col min="17" max="21" width="15.26953125" bestFit="1" customWidth="1"/>
    <col min="22" max="22" width="10.7265625" bestFit="1" customWidth="1"/>
  </cols>
  <sheetData>
    <row r="1" spans="1:16" s="14" customFormat="1" ht="21" x14ac:dyDescent="0.5">
      <c r="A1" s="14" t="s">
        <v>111</v>
      </c>
    </row>
    <row r="3" spans="1:16" x14ac:dyDescent="0.35">
      <c r="O3" s="28" t="s">
        <v>55</v>
      </c>
      <c r="P3" t="s">
        <v>64</v>
      </c>
    </row>
    <row r="4" spans="1:16" ht="32" customHeight="1" x14ac:dyDescent="0.35">
      <c r="A4" s="10" t="s">
        <v>52</v>
      </c>
      <c r="B4" s="10" t="s">
        <v>53</v>
      </c>
      <c r="C4" s="10" t="s">
        <v>54</v>
      </c>
      <c r="D4" s="10" t="s">
        <v>55</v>
      </c>
      <c r="E4" s="10" t="s">
        <v>5</v>
      </c>
      <c r="F4" s="10" t="s">
        <v>56</v>
      </c>
      <c r="G4" s="10" t="s">
        <v>4</v>
      </c>
      <c r="H4" s="10" t="s">
        <v>57</v>
      </c>
      <c r="I4" s="10" t="s">
        <v>58</v>
      </c>
      <c r="J4" s="10" t="s">
        <v>59</v>
      </c>
      <c r="K4" s="10" t="s">
        <v>60</v>
      </c>
      <c r="L4" s="10" t="s">
        <v>61</v>
      </c>
      <c r="M4" s="10" t="s">
        <v>167</v>
      </c>
      <c r="O4" s="28" t="s">
        <v>54</v>
      </c>
      <c r="P4" t="s">
        <v>63</v>
      </c>
    </row>
    <row r="5" spans="1:16" x14ac:dyDescent="0.35">
      <c r="A5" s="9">
        <v>101</v>
      </c>
      <c r="B5" s="11" t="s">
        <v>62</v>
      </c>
      <c r="C5" s="11" t="s">
        <v>63</v>
      </c>
      <c r="D5" s="11" t="s">
        <v>64</v>
      </c>
      <c r="E5" s="9">
        <v>65000</v>
      </c>
      <c r="F5" s="9">
        <v>5000</v>
      </c>
      <c r="G5" s="12">
        <v>34745</v>
      </c>
      <c r="H5" s="12">
        <v>43840</v>
      </c>
      <c r="I5" s="9">
        <v>125000</v>
      </c>
      <c r="J5" s="9">
        <v>4.5</v>
      </c>
      <c r="K5" s="13" t="s">
        <v>65</v>
      </c>
      <c r="L5" s="11" t="s">
        <v>66</v>
      </c>
      <c r="M5">
        <f>YEAR(hr_table2[[#This Row],[Joining Date]])</f>
        <v>2020</v>
      </c>
    </row>
    <row r="6" spans="1:16" hidden="1" x14ac:dyDescent="0.35">
      <c r="A6" s="9">
        <v>102</v>
      </c>
      <c r="B6" s="11" t="s">
        <v>67</v>
      </c>
      <c r="C6" s="11" t="s">
        <v>68</v>
      </c>
      <c r="D6" s="11" t="s">
        <v>69</v>
      </c>
      <c r="E6" s="9">
        <v>55000</v>
      </c>
      <c r="F6" s="9">
        <v>4000</v>
      </c>
      <c r="G6" s="12">
        <v>35633</v>
      </c>
      <c r="H6" s="12">
        <v>44362</v>
      </c>
      <c r="I6" s="9">
        <v>85000</v>
      </c>
      <c r="J6" s="9">
        <v>4</v>
      </c>
      <c r="K6" s="13" t="s">
        <v>70</v>
      </c>
      <c r="L6" s="11" t="s">
        <v>66</v>
      </c>
      <c r="M6">
        <f>YEAR(hr_table2[[#This Row],[Joining Date]])</f>
        <v>2021</v>
      </c>
      <c r="O6" t="s">
        <v>171</v>
      </c>
    </row>
    <row r="7" spans="1:16" x14ac:dyDescent="0.35">
      <c r="A7" s="9">
        <v>103</v>
      </c>
      <c r="B7" s="11" t="s">
        <v>71</v>
      </c>
      <c r="C7" s="11" t="s">
        <v>63</v>
      </c>
      <c r="D7" s="11" t="s">
        <v>64</v>
      </c>
      <c r="E7" s="9">
        <v>72000</v>
      </c>
      <c r="F7" s="9">
        <v>7000</v>
      </c>
      <c r="G7" s="12">
        <v>34278</v>
      </c>
      <c r="H7" s="12">
        <v>43544</v>
      </c>
      <c r="I7" s="9">
        <v>150000</v>
      </c>
      <c r="J7" s="9">
        <v>4.8</v>
      </c>
      <c r="K7" s="13" t="s">
        <v>72</v>
      </c>
      <c r="L7" s="11" t="s">
        <v>66</v>
      </c>
      <c r="M7">
        <f>YEAR(hr_table2[[#This Row],[Joining Date]])</f>
        <v>2019</v>
      </c>
      <c r="O7" s="29">
        <v>413000</v>
      </c>
    </row>
    <row r="8" spans="1:16" hidden="1" x14ac:dyDescent="0.35">
      <c r="A8" s="9">
        <v>104</v>
      </c>
      <c r="B8" s="11" t="s">
        <v>73</v>
      </c>
      <c r="C8" s="11" t="s">
        <v>74</v>
      </c>
      <c r="D8" s="11" t="s">
        <v>75</v>
      </c>
      <c r="E8" s="9">
        <v>60000</v>
      </c>
      <c r="F8" s="9">
        <v>4500</v>
      </c>
      <c r="G8" s="12">
        <v>35136</v>
      </c>
      <c r="H8" s="12">
        <v>44079</v>
      </c>
      <c r="I8" s="9">
        <v>110000</v>
      </c>
      <c r="J8" s="9">
        <v>4.2</v>
      </c>
      <c r="K8" s="13" t="s">
        <v>76</v>
      </c>
      <c r="L8" s="11" t="s">
        <v>66</v>
      </c>
      <c r="M8">
        <f>YEAR(hr_table2[[#This Row],[Joining Date]])</f>
        <v>2020</v>
      </c>
    </row>
    <row r="9" spans="1:16" hidden="1" x14ac:dyDescent="0.35">
      <c r="A9" s="9">
        <v>105</v>
      </c>
      <c r="B9" s="11" t="s">
        <v>77</v>
      </c>
      <c r="C9" s="11" t="s">
        <v>58</v>
      </c>
      <c r="D9" s="11" t="s">
        <v>69</v>
      </c>
      <c r="E9" s="9">
        <v>48000</v>
      </c>
      <c r="F9" s="9">
        <v>8000</v>
      </c>
      <c r="G9" s="12">
        <v>36037</v>
      </c>
      <c r="H9" s="12">
        <v>44573</v>
      </c>
      <c r="I9" s="9">
        <v>175000</v>
      </c>
      <c r="J9" s="9">
        <v>4.5999999999999996</v>
      </c>
      <c r="K9" s="13" t="s">
        <v>78</v>
      </c>
      <c r="L9" s="11" t="s">
        <v>66</v>
      </c>
      <c r="M9">
        <f>YEAR(hr_table2[[#This Row],[Joining Date]])</f>
        <v>2022</v>
      </c>
    </row>
    <row r="10" spans="1:16" hidden="1" x14ac:dyDescent="0.35">
      <c r="A10" s="9">
        <v>106</v>
      </c>
      <c r="B10" s="11" t="s">
        <v>79</v>
      </c>
      <c r="C10" s="11" t="s">
        <v>63</v>
      </c>
      <c r="D10" s="11" t="s">
        <v>80</v>
      </c>
      <c r="E10" s="9">
        <v>68000</v>
      </c>
      <c r="F10" s="9">
        <v>6000</v>
      </c>
      <c r="G10" s="12">
        <v>34686</v>
      </c>
      <c r="H10" s="12">
        <v>44037</v>
      </c>
      <c r="I10" s="9">
        <v>135000</v>
      </c>
      <c r="J10" s="9">
        <v>4.4000000000000004</v>
      </c>
      <c r="K10" s="13" t="s">
        <v>81</v>
      </c>
      <c r="L10" s="11" t="s">
        <v>66</v>
      </c>
      <c r="M10">
        <f>YEAR(hr_table2[[#This Row],[Joining Date]])</f>
        <v>2020</v>
      </c>
    </row>
    <row r="11" spans="1:16" hidden="1" x14ac:dyDescent="0.35">
      <c r="A11" s="9">
        <v>107</v>
      </c>
      <c r="B11" s="11" t="s">
        <v>82</v>
      </c>
      <c r="C11" s="11" t="s">
        <v>58</v>
      </c>
      <c r="D11" s="11" t="s">
        <v>64</v>
      </c>
      <c r="E11" s="9">
        <v>52000</v>
      </c>
      <c r="F11" s="9">
        <v>7500</v>
      </c>
      <c r="G11" s="12">
        <v>35559</v>
      </c>
      <c r="H11" s="12">
        <v>44237</v>
      </c>
      <c r="I11" s="9">
        <v>160000</v>
      </c>
      <c r="J11" s="9">
        <v>4.7</v>
      </c>
      <c r="K11" s="13" t="s">
        <v>83</v>
      </c>
      <c r="L11" s="11" t="s">
        <v>66</v>
      </c>
      <c r="M11">
        <f>YEAR(hr_table2[[#This Row],[Joining Date]])</f>
        <v>2021</v>
      </c>
    </row>
    <row r="12" spans="1:16" hidden="1" x14ac:dyDescent="0.35">
      <c r="A12" s="9">
        <v>108</v>
      </c>
      <c r="B12" s="11" t="s">
        <v>84</v>
      </c>
      <c r="C12" s="11" t="s">
        <v>68</v>
      </c>
      <c r="D12" s="11" t="s">
        <v>69</v>
      </c>
      <c r="E12" s="9">
        <v>58000</v>
      </c>
      <c r="F12" s="9">
        <v>3500</v>
      </c>
      <c r="G12" s="12">
        <v>35089</v>
      </c>
      <c r="H12" s="12">
        <v>44426</v>
      </c>
      <c r="I12" s="9">
        <v>90000</v>
      </c>
      <c r="J12" s="9">
        <v>3.9</v>
      </c>
      <c r="K12" s="13" t="s">
        <v>85</v>
      </c>
      <c r="L12" s="11" t="s">
        <v>86</v>
      </c>
      <c r="M12">
        <f>YEAR(hr_table2[[#This Row],[Joining Date]])</f>
        <v>2021</v>
      </c>
    </row>
    <row r="13" spans="1:16" hidden="1" x14ac:dyDescent="0.35">
      <c r="A13" s="9">
        <v>109</v>
      </c>
      <c r="B13" s="11" t="s">
        <v>87</v>
      </c>
      <c r="C13" s="11" t="s">
        <v>74</v>
      </c>
      <c r="D13" s="11" t="s">
        <v>64</v>
      </c>
      <c r="E13" s="9">
        <v>63000</v>
      </c>
      <c r="F13" s="9">
        <v>5000</v>
      </c>
      <c r="G13" s="12">
        <v>34864</v>
      </c>
      <c r="H13" s="12">
        <v>43556</v>
      </c>
      <c r="I13" s="9">
        <v>120000</v>
      </c>
      <c r="J13" s="9">
        <v>4.0999999999999996</v>
      </c>
      <c r="K13" s="13" t="s">
        <v>88</v>
      </c>
      <c r="L13" s="11" t="s">
        <v>66</v>
      </c>
      <c r="M13">
        <f>YEAR(hr_table2[[#This Row],[Joining Date]])</f>
        <v>2019</v>
      </c>
    </row>
    <row r="14" spans="1:16" hidden="1" x14ac:dyDescent="0.35">
      <c r="A14" s="9">
        <v>110</v>
      </c>
      <c r="B14" s="11" t="s">
        <v>89</v>
      </c>
      <c r="C14" s="11" t="s">
        <v>63</v>
      </c>
      <c r="D14" s="11" t="s">
        <v>69</v>
      </c>
      <c r="E14" s="9">
        <v>75000</v>
      </c>
      <c r="F14" s="9">
        <v>8000</v>
      </c>
      <c r="G14" s="12">
        <v>33880</v>
      </c>
      <c r="H14" s="12">
        <v>43235</v>
      </c>
      <c r="I14" s="9">
        <v>180000</v>
      </c>
      <c r="J14" s="9">
        <v>4.9000000000000004</v>
      </c>
      <c r="K14" s="13" t="s">
        <v>90</v>
      </c>
      <c r="L14" s="11" t="s">
        <v>66</v>
      </c>
      <c r="M14">
        <f>YEAR(hr_table2[[#This Row],[Joining Date]])</f>
        <v>2018</v>
      </c>
    </row>
    <row r="15" spans="1:16" hidden="1" x14ac:dyDescent="0.35">
      <c r="A15" s="9">
        <v>111</v>
      </c>
      <c r="B15" s="11" t="s">
        <v>91</v>
      </c>
      <c r="C15" s="11" t="s">
        <v>58</v>
      </c>
      <c r="D15" s="11" t="s">
        <v>75</v>
      </c>
      <c r="E15" s="9">
        <v>45000</v>
      </c>
      <c r="F15" s="9">
        <v>6500</v>
      </c>
      <c r="G15" s="12">
        <v>36431</v>
      </c>
      <c r="H15" s="12">
        <v>44885</v>
      </c>
      <c r="I15" s="9">
        <v>140000</v>
      </c>
      <c r="J15" s="9">
        <v>4.3</v>
      </c>
      <c r="K15" s="13" t="s">
        <v>92</v>
      </c>
      <c r="L15" s="11" t="s">
        <v>66</v>
      </c>
      <c r="M15">
        <f>YEAR(hr_table2[[#This Row],[Joining Date]])</f>
        <v>2022</v>
      </c>
    </row>
    <row r="16" spans="1:16" hidden="1" x14ac:dyDescent="0.35">
      <c r="A16" s="9">
        <v>112</v>
      </c>
      <c r="B16" s="11" t="s">
        <v>93</v>
      </c>
      <c r="C16" s="11" t="s">
        <v>68</v>
      </c>
      <c r="D16" s="11" t="s">
        <v>64</v>
      </c>
      <c r="E16" s="9">
        <v>57000</v>
      </c>
      <c r="F16" s="9">
        <v>4000</v>
      </c>
      <c r="G16" s="12">
        <v>35896</v>
      </c>
      <c r="H16" s="12">
        <v>44566</v>
      </c>
      <c r="I16" s="9">
        <v>95000</v>
      </c>
      <c r="J16" s="9">
        <v>4</v>
      </c>
      <c r="K16" s="13" t="s">
        <v>94</v>
      </c>
      <c r="L16" s="11" t="s">
        <v>66</v>
      </c>
      <c r="M16">
        <f>YEAR(hr_table2[[#This Row],[Joining Date]])</f>
        <v>2022</v>
      </c>
    </row>
    <row r="17" spans="1:13" hidden="1" x14ac:dyDescent="0.35">
      <c r="A17" s="9">
        <v>113</v>
      </c>
      <c r="B17" s="11" t="s">
        <v>95</v>
      </c>
      <c r="C17" s="11" t="s">
        <v>74</v>
      </c>
      <c r="D17" s="11" t="s">
        <v>69</v>
      </c>
      <c r="E17" s="9">
        <v>69000</v>
      </c>
      <c r="F17" s="9">
        <v>5500</v>
      </c>
      <c r="G17" s="12">
        <v>34385</v>
      </c>
      <c r="H17" s="12">
        <v>43748</v>
      </c>
      <c r="I17" s="9">
        <v>130000</v>
      </c>
      <c r="J17" s="9">
        <v>4.5</v>
      </c>
      <c r="K17" s="13" t="s">
        <v>96</v>
      </c>
      <c r="L17" s="11" t="s">
        <v>66</v>
      </c>
      <c r="M17">
        <f>YEAR(hr_table2[[#This Row],[Joining Date]])</f>
        <v>2019</v>
      </c>
    </row>
    <row r="18" spans="1:13" hidden="1" x14ac:dyDescent="0.35">
      <c r="A18" s="9">
        <v>114</v>
      </c>
      <c r="B18" s="11" t="s">
        <v>97</v>
      </c>
      <c r="C18" s="11" t="s">
        <v>58</v>
      </c>
      <c r="D18" s="11" t="s">
        <v>64</v>
      </c>
      <c r="E18" s="9">
        <v>51000</v>
      </c>
      <c r="F18" s="9">
        <v>7000</v>
      </c>
      <c r="G18" s="12">
        <v>35618</v>
      </c>
      <c r="H18" s="12">
        <v>44270</v>
      </c>
      <c r="I18" s="9">
        <v>155000</v>
      </c>
      <c r="J18" s="9">
        <v>4.5999999999999996</v>
      </c>
      <c r="K18" s="13" t="s">
        <v>98</v>
      </c>
      <c r="L18" s="11" t="s">
        <v>66</v>
      </c>
      <c r="M18">
        <f>YEAR(hr_table2[[#This Row],[Joining Date]])</f>
        <v>2021</v>
      </c>
    </row>
    <row r="19" spans="1:13" hidden="1" x14ac:dyDescent="0.35">
      <c r="A19" s="9">
        <v>115</v>
      </c>
      <c r="B19" s="11" t="s">
        <v>99</v>
      </c>
      <c r="C19" s="11" t="s">
        <v>63</v>
      </c>
      <c r="D19" s="11" t="s">
        <v>75</v>
      </c>
      <c r="E19" s="9">
        <v>71000</v>
      </c>
      <c r="F19" s="9">
        <v>6500</v>
      </c>
      <c r="G19" s="12">
        <v>33988</v>
      </c>
      <c r="H19" s="12">
        <v>43252</v>
      </c>
      <c r="I19" s="9">
        <v>145000</v>
      </c>
      <c r="J19" s="9">
        <v>4.7</v>
      </c>
      <c r="K19" s="13" t="s">
        <v>100</v>
      </c>
      <c r="L19" s="11" t="s">
        <v>66</v>
      </c>
      <c r="M19">
        <f>YEAR(hr_table2[[#This Row],[Joining Date]])</f>
        <v>2018</v>
      </c>
    </row>
    <row r="20" spans="1:13" hidden="1" x14ac:dyDescent="0.35">
      <c r="A20" s="9">
        <v>116</v>
      </c>
      <c r="B20" s="11" t="s">
        <v>101</v>
      </c>
      <c r="C20" s="11" t="s">
        <v>68</v>
      </c>
      <c r="D20" s="11" t="s">
        <v>69</v>
      </c>
      <c r="E20" s="9">
        <v>54000</v>
      </c>
      <c r="F20" s="9">
        <v>3000</v>
      </c>
      <c r="G20" s="12">
        <v>36490</v>
      </c>
      <c r="H20" s="12">
        <v>45117</v>
      </c>
      <c r="I20" s="9">
        <v>78000</v>
      </c>
      <c r="J20" s="9">
        <v>3.8</v>
      </c>
      <c r="K20" s="13" t="s">
        <v>102</v>
      </c>
      <c r="L20" s="11" t="s">
        <v>86</v>
      </c>
      <c r="M20">
        <f>YEAR(hr_table2[[#This Row],[Joining Date]])</f>
        <v>2023</v>
      </c>
    </row>
    <row r="21" spans="1:13" hidden="1" x14ac:dyDescent="0.35">
      <c r="A21" s="9">
        <v>117</v>
      </c>
      <c r="B21" s="11" t="s">
        <v>103</v>
      </c>
      <c r="C21" s="11" t="s">
        <v>74</v>
      </c>
      <c r="D21" s="11" t="s">
        <v>64</v>
      </c>
      <c r="E21" s="9">
        <v>61000</v>
      </c>
      <c r="F21" s="9">
        <v>4500</v>
      </c>
      <c r="G21" s="12">
        <v>35201</v>
      </c>
      <c r="H21" s="12">
        <v>44094</v>
      </c>
      <c r="I21" s="9">
        <v>115000</v>
      </c>
      <c r="J21" s="9">
        <v>4.2</v>
      </c>
      <c r="K21" s="13" t="s">
        <v>104</v>
      </c>
      <c r="L21" s="11" t="s">
        <v>66</v>
      </c>
      <c r="M21">
        <f>YEAR(hr_table2[[#This Row],[Joining Date]])</f>
        <v>2020</v>
      </c>
    </row>
    <row r="22" spans="1:13" hidden="1" x14ac:dyDescent="0.35">
      <c r="A22" s="9">
        <v>118</v>
      </c>
      <c r="B22" s="11" t="s">
        <v>105</v>
      </c>
      <c r="C22" s="11" t="s">
        <v>58</v>
      </c>
      <c r="D22" s="11" t="s">
        <v>69</v>
      </c>
      <c r="E22" s="9">
        <v>49000</v>
      </c>
      <c r="F22" s="9">
        <v>6000</v>
      </c>
      <c r="G22" s="12">
        <v>36137</v>
      </c>
      <c r="H22" s="12">
        <v>44576</v>
      </c>
      <c r="I22" s="9">
        <v>165000</v>
      </c>
      <c r="J22" s="9">
        <v>4.4000000000000004</v>
      </c>
      <c r="K22" s="13" t="s">
        <v>106</v>
      </c>
      <c r="L22" s="11" t="s">
        <v>66</v>
      </c>
      <c r="M22">
        <f>YEAR(hr_table2[[#This Row],[Joining Date]])</f>
        <v>2022</v>
      </c>
    </row>
    <row r="23" spans="1:13" x14ac:dyDescent="0.35">
      <c r="A23" s="9">
        <v>119</v>
      </c>
      <c r="B23" s="11" t="s">
        <v>107</v>
      </c>
      <c r="C23" s="11" t="s">
        <v>63</v>
      </c>
      <c r="D23" s="11" t="s">
        <v>64</v>
      </c>
      <c r="E23" s="9">
        <v>67000</v>
      </c>
      <c r="F23" s="9">
        <v>5500</v>
      </c>
      <c r="G23" s="12">
        <v>34779</v>
      </c>
      <c r="H23" s="12">
        <v>44048</v>
      </c>
      <c r="I23" s="9">
        <v>138000</v>
      </c>
      <c r="J23" s="9">
        <v>4.3</v>
      </c>
      <c r="K23" s="13" t="s">
        <v>108</v>
      </c>
      <c r="L23" s="11" t="s">
        <v>66</v>
      </c>
      <c r="M23">
        <f>YEAR(hr_table2[[#This Row],[Joining Date]])</f>
        <v>2020</v>
      </c>
    </row>
    <row r="24" spans="1:13" hidden="1" x14ac:dyDescent="0.35">
      <c r="A24" s="9">
        <v>120</v>
      </c>
      <c r="B24" s="11" t="s">
        <v>109</v>
      </c>
      <c r="C24" s="11" t="s">
        <v>68</v>
      </c>
      <c r="D24" s="11" t="s">
        <v>75</v>
      </c>
      <c r="E24" s="9">
        <v>56000</v>
      </c>
      <c r="F24" s="9">
        <v>3500</v>
      </c>
      <c r="G24" s="12">
        <v>35686</v>
      </c>
      <c r="H24" s="12">
        <v>44359</v>
      </c>
      <c r="I24" s="9">
        <v>88000</v>
      </c>
      <c r="J24" s="9">
        <v>4.0999999999999996</v>
      </c>
      <c r="K24" s="13" t="s">
        <v>110</v>
      </c>
      <c r="L24" s="11" t="s">
        <v>66</v>
      </c>
      <c r="M24">
        <f>YEAR(hr_table2[[#This Row],[Joining Date]])</f>
        <v>2021</v>
      </c>
    </row>
    <row r="27" spans="1:13" x14ac:dyDescent="0.35">
      <c r="A27" s="28" t="s">
        <v>54</v>
      </c>
      <c r="B27" t="s">
        <v>74</v>
      </c>
      <c r="D27" s="28" t="s">
        <v>54</v>
      </c>
      <c r="E27" t="s">
        <v>74</v>
      </c>
      <c r="G27" s="28" t="s">
        <v>54</v>
      </c>
      <c r="H27" t="s">
        <v>74</v>
      </c>
      <c r="J27" s="28" t="s">
        <v>54</v>
      </c>
      <c r="K27" t="s">
        <v>74</v>
      </c>
    </row>
    <row r="29" spans="1:13" x14ac:dyDescent="0.35">
      <c r="A29" t="s">
        <v>168</v>
      </c>
      <c r="D29" t="s">
        <v>172</v>
      </c>
      <c r="G29" t="s">
        <v>173</v>
      </c>
      <c r="J29" t="s">
        <v>174</v>
      </c>
    </row>
    <row r="30" spans="1:13" x14ac:dyDescent="0.35">
      <c r="A30" s="29">
        <v>253000</v>
      </c>
      <c r="D30" s="29">
        <v>63250</v>
      </c>
      <c r="G30" s="29">
        <v>69000</v>
      </c>
      <c r="J30" s="29">
        <v>60000</v>
      </c>
    </row>
    <row r="34" spans="1:3" x14ac:dyDescent="0.35">
      <c r="A34" s="28" t="s">
        <v>169</v>
      </c>
      <c r="C34" s="28" t="s">
        <v>169</v>
      </c>
    </row>
    <row r="35" spans="1:3" x14ac:dyDescent="0.35">
      <c r="A35" s="30">
        <v>2021</v>
      </c>
      <c r="C35" s="30" t="s">
        <v>64</v>
      </c>
    </row>
    <row r="36" spans="1:3" x14ac:dyDescent="0.35">
      <c r="A36" s="31" t="s">
        <v>97</v>
      </c>
      <c r="C36" s="31" t="s">
        <v>62</v>
      </c>
    </row>
    <row r="37" spans="1:3" x14ac:dyDescent="0.35">
      <c r="A37" s="31" t="s">
        <v>82</v>
      </c>
      <c r="C37" s="31" t="s">
        <v>103</v>
      </c>
    </row>
    <row r="38" spans="1:3" x14ac:dyDescent="0.35">
      <c r="A38" s="30" t="s">
        <v>170</v>
      </c>
      <c r="C38" s="31" t="s">
        <v>87</v>
      </c>
    </row>
    <row r="39" spans="1:3" x14ac:dyDescent="0.35">
      <c r="C39" s="31" t="s">
        <v>97</v>
      </c>
    </row>
    <row r="40" spans="1:3" x14ac:dyDescent="0.35">
      <c r="C40" s="31" t="s">
        <v>93</v>
      </c>
    </row>
    <row r="41" spans="1:3" x14ac:dyDescent="0.35">
      <c r="C41" s="31" t="s">
        <v>107</v>
      </c>
    </row>
    <row r="42" spans="1:3" x14ac:dyDescent="0.35">
      <c r="C42" s="31" t="s">
        <v>71</v>
      </c>
    </row>
    <row r="43" spans="1:3" x14ac:dyDescent="0.35">
      <c r="C43" s="31" t="s">
        <v>82</v>
      </c>
    </row>
    <row r="44" spans="1:3" x14ac:dyDescent="0.35">
      <c r="C44" s="30" t="s">
        <v>170</v>
      </c>
    </row>
  </sheetData>
  <hyperlinks>
    <hyperlink ref="K5" r:id="rId8" display="mailto:amit@gmail.com" xr:uid="{A46ECDB6-01DE-46DC-99B9-673BDB489339}"/>
    <hyperlink ref="K6" r:id="rId9" display="mailto:priya@gmail.com" xr:uid="{912DE19C-E4E7-4CD2-B48B-DDF4DD675476}"/>
    <hyperlink ref="K7" r:id="rId10" display="mailto:rahul@gmail.com" xr:uid="{B5CFB5D7-7C71-49F0-B226-6D9A292B8EC4}"/>
    <hyperlink ref="K8" r:id="rId11" display="mailto:sneha@gmail.com" xr:uid="{BE5BC48C-D235-4E76-B897-FBD51FD0BA52}"/>
    <hyperlink ref="K9" r:id="rId12" display="mailto:vikram@gmail.com" xr:uid="{BE208E50-E7EA-48C2-B569-F7E7C894B9FB}"/>
    <hyperlink ref="K10" r:id="rId13" display="mailto:neha@gmail.com" xr:uid="{3F1ED330-FC61-4E5E-B91C-A29941334E2F}"/>
    <hyperlink ref="K11" r:id="rId14" display="mailto:rohan@gmail.com" xr:uid="{0E76EF55-49E7-4BD5-A49F-C43D01FEC9F4}"/>
    <hyperlink ref="K12" r:id="rId15" display="mailto:pooja@gmail.com" xr:uid="{4E5FFF9A-6C75-4A95-890F-CEC8C9D4FE5C}"/>
    <hyperlink ref="K13" r:id="rId16" display="mailto:karan@gmail.com" xr:uid="{2A0BC52C-4682-4B86-9D55-2CE8F2CAC99B}"/>
    <hyperlink ref="K14" r:id="rId17" display="mailto:anjali@gmail.com" xr:uid="{2DFB030A-1320-46D2-871B-ED0D94121B1F}"/>
    <hyperlink ref="K15" r:id="rId18" display="mailto:suresh@gmail.com" xr:uid="{5F8C11F0-8B24-4E91-B066-42D8E4C2A1EC}"/>
    <hyperlink ref="K16" r:id="rId19" display="mailto:meena@gmail.com" xr:uid="{253E78E4-F671-43E6-A5AC-C6B42B00443D}"/>
    <hyperlink ref="K17" r:id="rId20" display="mailto:akash@gmail.com" xr:uid="{5D03B7C0-BF08-4589-91F4-5F9B4B9733A6}"/>
    <hyperlink ref="K18" r:id="rId21" display="mailto:kavita@gmail.com" xr:uid="{4F833ECD-463C-4541-8CF7-1EC0EA8CF257}"/>
    <hyperlink ref="K19" r:id="rId22" display="mailto:manish@gmail.com" xr:uid="{75BF105E-CDEB-413D-BB8C-2B1F60D25CA1}"/>
    <hyperlink ref="K20" r:id="rId23" display="mailto:riya@gmail.com" xr:uid="{0FBBDB25-0905-4BCF-ADAD-2C29203E469E}"/>
    <hyperlink ref="K21" r:id="rId24" display="mailto:deepak@gmail.com" xr:uid="{D718A956-3ECC-47D4-9444-6D1D4BDE54A6}"/>
    <hyperlink ref="K22" r:id="rId25" display="mailto:swati@gmail.com" xr:uid="{EA4C0D3A-57E2-42F4-BEDB-9E128C7E89D8}"/>
    <hyperlink ref="K23" r:id="rId26" display="mailto:nikhil@gmail.com" xr:uid="{1B38E077-2F5E-4D13-BB38-B43D0D11E86F}"/>
    <hyperlink ref="K24" r:id="rId27" display="mailto:aarti@gmail.com" xr:uid="{A189AC90-58E0-4603-9FD2-27282587A2E4}"/>
  </hyperlinks>
  <pageMargins left="0.7" right="0.7" top="0.75" bottom="0.75" header="0.3" footer="0.3"/>
  <pageSetup orientation="portrait" r:id="rId28"/>
  <drawing r:id="rId29"/>
  <tableParts count="1">
    <tablePart r:id="rId30"/>
  </tableParts>
  <extLst>
    <ext xmlns:x14="http://schemas.microsoft.com/office/spreadsheetml/2009/9/main" uri="{A8765BA9-456A-4dab-B4F3-ACF838C121DE}">
      <x14:slicerList>
        <x14:slicer r:id="rId31"/>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04A92-D34F-461C-B4C8-30D1B5D38A78}">
  <dimension ref="A1:G24"/>
  <sheetViews>
    <sheetView topLeftCell="A4" workbookViewId="0">
      <selection activeCell="I33" sqref="I33"/>
    </sheetView>
  </sheetViews>
  <sheetFormatPr defaultRowHeight="14.5" x14ac:dyDescent="0.35"/>
  <cols>
    <col min="1" max="1" width="19.26953125" customWidth="1"/>
    <col min="2" max="2" width="13.7265625" customWidth="1"/>
    <col min="3" max="3" width="13.26953125" customWidth="1"/>
    <col min="4" max="4" width="12.6328125" customWidth="1"/>
    <col min="5" max="5" width="22.6328125" customWidth="1"/>
    <col min="6" max="6" width="24.26953125" customWidth="1"/>
    <col min="7" max="7" width="26.08984375" customWidth="1"/>
    <col min="8" max="8" width="21.54296875" customWidth="1"/>
  </cols>
  <sheetData>
    <row r="1" spans="1:7" ht="32.5" customHeight="1" x14ac:dyDescent="0.35">
      <c r="A1" s="24" t="s">
        <v>148</v>
      </c>
      <c r="B1" s="24" t="s">
        <v>149</v>
      </c>
      <c r="C1" s="25" t="s">
        <v>58</v>
      </c>
      <c r="D1" s="25" t="s">
        <v>150</v>
      </c>
      <c r="E1" s="25" t="s">
        <v>151</v>
      </c>
      <c r="F1" s="25" t="s">
        <v>157</v>
      </c>
      <c r="G1" s="25" t="s">
        <v>157</v>
      </c>
    </row>
    <row r="2" spans="1:7" x14ac:dyDescent="0.35">
      <c r="A2" s="21" t="s">
        <v>71</v>
      </c>
      <c r="B2" s="21" t="s">
        <v>152</v>
      </c>
      <c r="C2" s="22">
        <v>850000</v>
      </c>
      <c r="D2" s="22">
        <v>800000</v>
      </c>
      <c r="E2" s="23">
        <v>0.96</v>
      </c>
      <c r="F2" s="3" t="str">
        <f>IF(E2&lt;80%, "Poor",IF(E2&lt;85%, "Good",IF(E2&lt;90%,"Best",IF(E2&lt;100%,"Excellent"))))</f>
        <v>Excellent</v>
      </c>
      <c r="G2" s="3" t="str" cm="1">
        <f t="array" ref="G2">_xlfn.IFS(E2&lt;80%,"Poor",E2&lt;85%,"Good",E2&lt;90%,"Best",E2&lt;100%,"Excellent")</f>
        <v>Excellent</v>
      </c>
    </row>
    <row r="3" spans="1:7" x14ac:dyDescent="0.35">
      <c r="A3" s="21" t="s">
        <v>67</v>
      </c>
      <c r="B3" s="21" t="s">
        <v>153</v>
      </c>
      <c r="C3" s="22">
        <v>620000</v>
      </c>
      <c r="D3" s="22">
        <v>700000</v>
      </c>
      <c r="E3" s="23">
        <v>0.92</v>
      </c>
      <c r="F3" s="3" t="str">
        <f t="shared" ref="F3:F9" si="0">IF(E3&lt;80%, "Poor",IF(E3&lt;85%, "Good",IF(E3&lt;90%,"Best",IF(E3&lt;100%,"Excellent"))))</f>
        <v>Excellent</v>
      </c>
      <c r="G3" s="3" t="str" cm="1">
        <f t="array" ref="G3">_xlfn.IFS(E3&lt;80%,"Poor",E3&lt;85%,"Good",E3&lt;90%,"Best",E3&lt;100%,"Excellent")</f>
        <v>Excellent</v>
      </c>
    </row>
    <row r="4" spans="1:7" x14ac:dyDescent="0.35">
      <c r="A4" s="21" t="s">
        <v>62</v>
      </c>
      <c r="B4" s="21" t="s">
        <v>154</v>
      </c>
      <c r="C4" s="22">
        <v>950000</v>
      </c>
      <c r="D4" s="22">
        <v>900000</v>
      </c>
      <c r="E4" s="23">
        <v>0.88</v>
      </c>
      <c r="F4" s="3" t="str">
        <f t="shared" si="0"/>
        <v>Best</v>
      </c>
      <c r="G4" s="3" t="str" cm="1">
        <f t="array" ref="G4">_xlfn.IFS(E4&lt;80%,"Poor",E4&lt;85%,"Good",E4&lt;90%,"Best",E4&lt;100%,"Excellent")</f>
        <v>Best</v>
      </c>
    </row>
    <row r="5" spans="1:7" x14ac:dyDescent="0.35">
      <c r="A5" s="21" t="s">
        <v>73</v>
      </c>
      <c r="B5" s="21" t="s">
        <v>152</v>
      </c>
      <c r="C5" s="22">
        <v>450000</v>
      </c>
      <c r="D5" s="22">
        <v>500000</v>
      </c>
      <c r="E5" s="23">
        <v>0.97</v>
      </c>
      <c r="F5" s="3" t="str">
        <f t="shared" si="0"/>
        <v>Excellent</v>
      </c>
      <c r="G5" s="3" t="str" cm="1">
        <f t="array" ref="G5">_xlfn.IFS(E5&lt;80%,"Poor",E5&lt;85%,"Good",E5&lt;90%,"Best",E5&lt;100%,"Excellent")</f>
        <v>Excellent</v>
      </c>
    </row>
    <row r="6" spans="1:7" x14ac:dyDescent="0.35">
      <c r="A6" s="21" t="s">
        <v>155</v>
      </c>
      <c r="B6" s="21" t="s">
        <v>153</v>
      </c>
      <c r="C6" s="22">
        <v>780000</v>
      </c>
      <c r="D6" s="22">
        <v>750000</v>
      </c>
      <c r="E6" s="23">
        <v>0.82</v>
      </c>
      <c r="F6" s="3" t="str">
        <f t="shared" si="0"/>
        <v>Good</v>
      </c>
      <c r="G6" s="3" t="str" cm="1">
        <f t="array" ref="G6">_xlfn.IFS(E6&lt;80%,"Poor",E6&lt;85%,"Good",E6&lt;90%,"Best",E6&lt;100%,"Excellent")</f>
        <v>Good</v>
      </c>
    </row>
    <row r="7" spans="1:7" x14ac:dyDescent="0.35">
      <c r="A7" s="21" t="s">
        <v>79</v>
      </c>
      <c r="B7" s="21" t="s">
        <v>154</v>
      </c>
      <c r="C7" s="22">
        <v>1100000</v>
      </c>
      <c r="D7" s="22">
        <v>1000000</v>
      </c>
      <c r="E7" s="23">
        <v>0.95</v>
      </c>
      <c r="F7" s="3" t="str">
        <f t="shared" si="0"/>
        <v>Excellent</v>
      </c>
      <c r="G7" s="3" t="str" cm="1">
        <f t="array" ref="G7">_xlfn.IFS(E7&lt;80%,"Poor",E7&lt;85%,"Good",E7&lt;90%,"Best",E7&lt;100%,"Excellent")</f>
        <v>Excellent</v>
      </c>
    </row>
    <row r="8" spans="1:7" x14ac:dyDescent="0.35">
      <c r="A8" s="21" t="s">
        <v>156</v>
      </c>
      <c r="B8" s="21" t="s">
        <v>152</v>
      </c>
      <c r="C8" s="22">
        <v>550000</v>
      </c>
      <c r="D8" s="22">
        <v>500000</v>
      </c>
      <c r="E8" s="23">
        <v>0.91</v>
      </c>
      <c r="F8" s="3" t="str">
        <f t="shared" si="0"/>
        <v>Excellent</v>
      </c>
      <c r="G8" s="3" t="str" cm="1">
        <f t="array" ref="G8">_xlfn.IFS(E8&lt;80%,"Poor",E8&lt;85%,"Good",E8&lt;90%,"Best",E8&lt;100%,"Excellent")</f>
        <v>Excellent</v>
      </c>
    </row>
    <row r="9" spans="1:7" x14ac:dyDescent="0.35">
      <c r="A9" s="21" t="s">
        <v>84</v>
      </c>
      <c r="B9" s="21" t="s">
        <v>153</v>
      </c>
      <c r="C9" s="22">
        <v>400000</v>
      </c>
      <c r="D9" s="22">
        <v>450000</v>
      </c>
      <c r="E9" s="23">
        <v>0.96</v>
      </c>
      <c r="F9" s="3" t="str">
        <f t="shared" si="0"/>
        <v>Excellent</v>
      </c>
      <c r="G9" s="3" t="str" cm="1">
        <f t="array" ref="G9">_xlfn.IFS(E9&lt;80%,"Poor",E9&lt;85%,"Good",E9&lt;90%,"Best",E9&lt;100%,"Excellent")</f>
        <v>Excellent</v>
      </c>
    </row>
    <row r="13" spans="1:7" x14ac:dyDescent="0.35">
      <c r="B13" s="26" t="s">
        <v>149</v>
      </c>
      <c r="C13" s="26" t="s">
        <v>158</v>
      </c>
      <c r="E13" s="26" t="s">
        <v>160</v>
      </c>
      <c r="F13" s="26" t="s">
        <v>158</v>
      </c>
    </row>
    <row r="14" spans="1:7" x14ac:dyDescent="0.35">
      <c r="B14" s="3" t="s">
        <v>159</v>
      </c>
      <c r="C14" s="3">
        <f>COUNTIF(B2:B9,B14)</f>
        <v>0</v>
      </c>
      <c r="E14" s="3" t="s">
        <v>161</v>
      </c>
      <c r="F14" s="3">
        <f>COUNTIF(G2:G9,E14)</f>
        <v>6</v>
      </c>
    </row>
    <row r="15" spans="1:7" x14ac:dyDescent="0.35">
      <c r="B15" s="3" t="s">
        <v>153</v>
      </c>
      <c r="C15" s="3">
        <f t="shared" ref="C15:C17" si="1">COUNTIF(B3:B10,B15)</f>
        <v>3</v>
      </c>
      <c r="E15" s="3" t="s">
        <v>162</v>
      </c>
      <c r="F15" s="3">
        <f t="shared" ref="F15:F17" si="2">COUNTIF(G3:G10,E15)</f>
        <v>1</v>
      </c>
    </row>
    <row r="16" spans="1:7" x14ac:dyDescent="0.35">
      <c r="B16" s="3" t="s">
        <v>152</v>
      </c>
      <c r="C16" s="3">
        <f t="shared" si="1"/>
        <v>2</v>
      </c>
      <c r="E16" s="3" t="s">
        <v>163</v>
      </c>
      <c r="F16" s="3">
        <f t="shared" si="2"/>
        <v>1</v>
      </c>
    </row>
    <row r="17" spans="2:6" x14ac:dyDescent="0.35">
      <c r="B17" s="3" t="s">
        <v>154</v>
      </c>
      <c r="C17" s="3">
        <f t="shared" si="1"/>
        <v>1</v>
      </c>
      <c r="E17" s="3" t="s">
        <v>164</v>
      </c>
      <c r="F17" s="3">
        <f t="shared" si="2"/>
        <v>0</v>
      </c>
    </row>
    <row r="19" spans="2:6" x14ac:dyDescent="0.35">
      <c r="E19" s="27" t="s">
        <v>149</v>
      </c>
      <c r="F19" s="27" t="s">
        <v>166</v>
      </c>
    </row>
    <row r="20" spans="2:6" x14ac:dyDescent="0.35">
      <c r="B20" s="26" t="s">
        <v>149</v>
      </c>
      <c r="C20" s="26" t="s">
        <v>165</v>
      </c>
      <c r="E20" s="3" t="s">
        <v>159</v>
      </c>
      <c r="F20" s="3">
        <f>COUNTIFS($B$2:$B$9,E20,$F$2:$F$9,$E$14)</f>
        <v>0</v>
      </c>
    </row>
    <row r="21" spans="2:6" x14ac:dyDescent="0.35">
      <c r="B21" s="3" t="s">
        <v>159</v>
      </c>
      <c r="C21" s="3">
        <f>SUMIF(B2:B9,B21,C2:C9)</f>
        <v>0</v>
      </c>
      <c r="E21" s="3" t="s">
        <v>153</v>
      </c>
      <c r="F21" s="3">
        <f t="shared" ref="F21:F23" si="3">COUNTIFS($B$2:$B$9,E21,$F$2:$F$9,$E$14)</f>
        <v>2</v>
      </c>
    </row>
    <row r="22" spans="2:6" x14ac:dyDescent="0.35">
      <c r="B22" s="3" t="s">
        <v>153</v>
      </c>
      <c r="C22" s="3">
        <f t="shared" ref="C22:C24" si="4">SUMIF(B3:B10,B22,C3:C10)</f>
        <v>1800000</v>
      </c>
      <c r="E22" s="3" t="s">
        <v>152</v>
      </c>
      <c r="F22" s="3">
        <f t="shared" si="3"/>
        <v>3</v>
      </c>
    </row>
    <row r="23" spans="2:6" x14ac:dyDescent="0.35">
      <c r="B23" s="3" t="s">
        <v>152</v>
      </c>
      <c r="C23" s="3">
        <f t="shared" si="4"/>
        <v>1000000</v>
      </c>
      <c r="E23" s="3" t="s">
        <v>154</v>
      </c>
      <c r="F23" s="3">
        <f t="shared" si="3"/>
        <v>1</v>
      </c>
    </row>
    <row r="24" spans="2:6" x14ac:dyDescent="0.35">
      <c r="B24" s="3" t="s">
        <v>154</v>
      </c>
      <c r="C24" s="3">
        <f t="shared" si="4"/>
        <v>1100000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FE932-807D-42F6-ABA6-5B7587BDAB41}">
  <dimension ref="A2:K48"/>
  <sheetViews>
    <sheetView topLeftCell="B20" zoomScale="195" workbookViewId="0">
      <selection activeCell="K18" sqref="K18"/>
    </sheetView>
  </sheetViews>
  <sheetFormatPr defaultRowHeight="14.5" x14ac:dyDescent="0.35"/>
  <cols>
    <col min="4" max="4" width="15.36328125" bestFit="1" customWidth="1"/>
    <col min="5" max="5" width="12.81640625" customWidth="1"/>
    <col min="6" max="6" width="17.81640625" customWidth="1"/>
    <col min="8" max="8" width="11.7265625" customWidth="1"/>
  </cols>
  <sheetData>
    <row r="2" spans="1:8" x14ac:dyDescent="0.35">
      <c r="A2" s="15"/>
      <c r="B2" s="15"/>
      <c r="C2" s="16"/>
      <c r="E2" s="15" t="s">
        <v>112</v>
      </c>
      <c r="F2" s="16">
        <f>SUM(A2:A10)</f>
        <v>0</v>
      </c>
    </row>
    <row r="3" spans="1:8" x14ac:dyDescent="0.35">
      <c r="E3" s="15" t="s">
        <v>113</v>
      </c>
      <c r="F3" s="16">
        <f>MIN(A2:A10)</f>
        <v>0</v>
      </c>
    </row>
    <row r="4" spans="1:8" x14ac:dyDescent="0.35">
      <c r="E4" s="15" t="s">
        <v>114</v>
      </c>
      <c r="F4" s="16">
        <f>MAX(A2:A10)</f>
        <v>0</v>
      </c>
    </row>
    <row r="5" spans="1:8" x14ac:dyDescent="0.35">
      <c r="E5" s="15" t="s">
        <v>115</v>
      </c>
      <c r="F5" s="16" t="e">
        <f>AVERAGE(A2:A10)</f>
        <v>#DIV/0!</v>
      </c>
    </row>
    <row r="6" spans="1:8" x14ac:dyDescent="0.35">
      <c r="E6" s="15" t="s">
        <v>116</v>
      </c>
      <c r="F6" s="16" t="e">
        <f>ROUND(F5,2)</f>
        <v>#DIV/0!</v>
      </c>
    </row>
    <row r="7" spans="1:8" x14ac:dyDescent="0.35">
      <c r="E7" s="15" t="s">
        <v>117</v>
      </c>
      <c r="F7" s="16">
        <f>ABS(A11)</f>
        <v>0</v>
      </c>
    </row>
    <row r="14" spans="1:8" x14ac:dyDescent="0.35">
      <c r="A14" t="s">
        <v>118</v>
      </c>
      <c r="E14" t="s">
        <v>121</v>
      </c>
      <c r="F14" t="str">
        <f>_xlfn.CONCAT(A14,A15)</f>
        <v>ShivIndia</v>
      </c>
    </row>
    <row r="15" spans="1:8" x14ac:dyDescent="0.35">
      <c r="A15" t="s">
        <v>119</v>
      </c>
      <c r="E15" t="s">
        <v>122</v>
      </c>
      <c r="F15" t="str">
        <f>A14&amp;" "&amp;A15</f>
        <v>Shiv India</v>
      </c>
    </row>
    <row r="16" spans="1:8" x14ac:dyDescent="0.35">
      <c r="A16" t="s">
        <v>120</v>
      </c>
      <c r="E16" t="s">
        <v>123</v>
      </c>
      <c r="F16" t="str">
        <f>LEFT(A14,2)</f>
        <v>Sh</v>
      </c>
      <c r="H16" t="e">
        <v>#N/A</v>
      </c>
    </row>
    <row r="17" spans="1:11" x14ac:dyDescent="0.35">
      <c r="E17" t="s">
        <v>124</v>
      </c>
      <c r="F17" t="str">
        <f>RIGHT(A14,2)</f>
        <v>iv</v>
      </c>
      <c r="I17" t="b">
        <f>ISBLANK(H17)</f>
        <v>1</v>
      </c>
      <c r="K17" t="b">
        <f>ISNA(H16)</f>
        <v>1</v>
      </c>
    </row>
    <row r="18" spans="1:11" x14ac:dyDescent="0.35">
      <c r="A18" t="s">
        <v>130</v>
      </c>
      <c r="E18" t="s">
        <v>125</v>
      </c>
      <c r="F18" t="str">
        <f>MID(A15,3,2)</f>
        <v>di</v>
      </c>
      <c r="I18" t="b">
        <f t="shared" ref="I18:I24" si="0">ISBLANK(H18)</f>
        <v>1</v>
      </c>
    </row>
    <row r="19" spans="1:11" x14ac:dyDescent="0.35">
      <c r="E19" t="s">
        <v>126</v>
      </c>
      <c r="F19">
        <f>LEN(A16)</f>
        <v>6</v>
      </c>
      <c r="H19" t="b">
        <v>1</v>
      </c>
      <c r="I19" t="b">
        <f t="shared" si="0"/>
        <v>0</v>
      </c>
    </row>
    <row r="20" spans="1:11" x14ac:dyDescent="0.35">
      <c r="E20" t="s">
        <v>127</v>
      </c>
      <c r="F20" t="str">
        <f>UPPER(A15)</f>
        <v>INDIA</v>
      </c>
      <c r="H20" t="s">
        <v>147</v>
      </c>
      <c r="I20" t="b">
        <f t="shared" si="0"/>
        <v>0</v>
      </c>
    </row>
    <row r="21" spans="1:11" x14ac:dyDescent="0.35">
      <c r="E21" t="s">
        <v>128</v>
      </c>
      <c r="F21" t="str">
        <f>PROPER(A16)</f>
        <v>Abc123</v>
      </c>
      <c r="H21">
        <v>2.2999999999999998</v>
      </c>
      <c r="I21" t="b">
        <f t="shared" si="0"/>
        <v>0</v>
      </c>
    </row>
    <row r="22" spans="1:11" x14ac:dyDescent="0.35">
      <c r="E22" t="s">
        <v>129</v>
      </c>
      <c r="F22" t="str">
        <f>TRIM(A18)</f>
        <v>Hello</v>
      </c>
      <c r="I22" t="b">
        <f t="shared" si="0"/>
        <v>1</v>
      </c>
    </row>
    <row r="23" spans="1:11" x14ac:dyDescent="0.35">
      <c r="H23">
        <v>1000</v>
      </c>
      <c r="I23" t="b">
        <f t="shared" si="0"/>
        <v>0</v>
      </c>
    </row>
    <row r="24" spans="1:11" x14ac:dyDescent="0.35">
      <c r="F24" t="str">
        <f>_xlfn.CONCAT(LEFT(A16,2),RIGHT(A16,2))</f>
        <v>AB23</v>
      </c>
      <c r="H24" s="1">
        <v>46247</v>
      </c>
      <c r="I24" t="b">
        <f t="shared" si="0"/>
        <v>0</v>
      </c>
    </row>
    <row r="25" spans="1:11" x14ac:dyDescent="0.35">
      <c r="H25" t="e">
        <f>12/0</f>
        <v>#DIV/0!</v>
      </c>
      <c r="I25" t="b">
        <f>ISERROR(H25)</f>
        <v>1</v>
      </c>
    </row>
    <row r="27" spans="1:11" x14ac:dyDescent="0.35">
      <c r="C27" t="s">
        <v>131</v>
      </c>
      <c r="D27" s="18">
        <f ca="1">TODAY()</f>
        <v>46252</v>
      </c>
      <c r="E27" s="1">
        <f ca="1">EDATE(D27,3)</f>
        <v>46344</v>
      </c>
      <c r="F27" s="1">
        <v>45789</v>
      </c>
      <c r="H27">
        <f ca="1">_xlfn.DAYS(D27,F27)</f>
        <v>463</v>
      </c>
    </row>
    <row r="28" spans="1:11" x14ac:dyDescent="0.35">
      <c r="C28" t="s">
        <v>132</v>
      </c>
      <c r="D28" s="17">
        <f ca="1">NOW()</f>
        <v>46252.856374884257</v>
      </c>
      <c r="E28" s="1">
        <f ca="1">EOMONTH(D27,0)</f>
        <v>46265</v>
      </c>
      <c r="F28" s="1">
        <v>43171</v>
      </c>
      <c r="H28">
        <f ca="1">DATEDIF(F28,D27, "Y")</f>
        <v>8</v>
      </c>
    </row>
    <row r="29" spans="1:11" x14ac:dyDescent="0.35">
      <c r="C29" t="s">
        <v>133</v>
      </c>
      <c r="D29">
        <f ca="1">DAY(D28)</f>
        <v>18</v>
      </c>
      <c r="E29">
        <f ca="1">WEEKDAY(D27)</f>
        <v>3</v>
      </c>
      <c r="H29">
        <f ca="1">DATEDIF(F28,D27,"M")</f>
        <v>101</v>
      </c>
    </row>
    <row r="30" spans="1:11" x14ac:dyDescent="0.35">
      <c r="C30" t="s">
        <v>134</v>
      </c>
      <c r="D30">
        <f ca="1">MONTH(D28)</f>
        <v>8</v>
      </c>
      <c r="E30">
        <f ca="1">WEEKNUM(D27)</f>
        <v>34</v>
      </c>
    </row>
    <row r="31" spans="1:11" x14ac:dyDescent="0.35">
      <c r="C31" t="s">
        <v>135</v>
      </c>
      <c r="D31">
        <f ca="1">YEAR(D28)</f>
        <v>2026</v>
      </c>
    </row>
    <row r="35" spans="1:6" x14ac:dyDescent="0.35">
      <c r="B35" t="s">
        <v>136</v>
      </c>
      <c r="C35" s="19">
        <f>TIME(14,30,0)</f>
        <v>0.60416666666666663</v>
      </c>
    </row>
    <row r="36" spans="1:6" x14ac:dyDescent="0.35">
      <c r="B36" t="s">
        <v>137</v>
      </c>
      <c r="C36">
        <f ca="1">HOUR(D28)</f>
        <v>20</v>
      </c>
    </row>
    <row r="37" spans="1:6" x14ac:dyDescent="0.35">
      <c r="B37" t="s">
        <v>138</v>
      </c>
      <c r="C37">
        <f ca="1">MINUTE(D28)</f>
        <v>33</v>
      </c>
    </row>
    <row r="38" spans="1:6" x14ac:dyDescent="0.35">
      <c r="B38" t="s">
        <v>139</v>
      </c>
      <c r="C38">
        <f ca="1">SECOND(D28)</f>
        <v>11</v>
      </c>
    </row>
    <row r="39" spans="1:6" x14ac:dyDescent="0.35">
      <c r="A39" t="s">
        <v>140</v>
      </c>
      <c r="B39" s="16">
        <v>34</v>
      </c>
      <c r="C39" s="16">
        <v>0</v>
      </c>
      <c r="D39" s="16">
        <v>23</v>
      </c>
      <c r="E39" s="16">
        <v>67</v>
      </c>
      <c r="F39" s="16">
        <v>90</v>
      </c>
    </row>
    <row r="40" spans="1:6" x14ac:dyDescent="0.35">
      <c r="A40" t="s">
        <v>141</v>
      </c>
      <c r="B40" s="16">
        <v>50</v>
      </c>
      <c r="C40" s="16">
        <v>74</v>
      </c>
      <c r="D40" s="16">
        <v>45</v>
      </c>
      <c r="E40" s="16">
        <v>40</v>
      </c>
      <c r="F40" s="16">
        <v>56</v>
      </c>
    </row>
    <row r="41" spans="1:6" x14ac:dyDescent="0.35">
      <c r="B41" s="20" t="str">
        <f>IF(B40&gt;=50,"Pass","Fail")</f>
        <v>Pass</v>
      </c>
      <c r="C41" s="20" t="str">
        <f t="shared" ref="C41:F41" si="1">IF(C40&gt;=50,"Pass","Fail")</f>
        <v>Pass</v>
      </c>
      <c r="D41" s="20" t="str">
        <f t="shared" si="1"/>
        <v>Fail</v>
      </c>
      <c r="E41" s="20" t="str">
        <f t="shared" si="1"/>
        <v>Fail</v>
      </c>
      <c r="F41" s="20" t="str">
        <f t="shared" si="1"/>
        <v>Pass</v>
      </c>
    </row>
    <row r="42" spans="1:6" x14ac:dyDescent="0.35">
      <c r="A42" t="s">
        <v>142</v>
      </c>
      <c r="B42" s="20" t="b">
        <f>AND(B39&gt;50, B40&gt;50)</f>
        <v>0</v>
      </c>
      <c r="C42" s="20" t="b">
        <f t="shared" ref="C42:F42" si="2">AND(C39&gt;50, C40&gt;50)</f>
        <v>0</v>
      </c>
      <c r="D42" s="20" t="b">
        <f t="shared" si="2"/>
        <v>0</v>
      </c>
      <c r="E42" s="20" t="b">
        <f t="shared" si="2"/>
        <v>0</v>
      </c>
      <c r="F42" s="20" t="b">
        <f t="shared" si="2"/>
        <v>1</v>
      </c>
    </row>
    <row r="43" spans="1:6" x14ac:dyDescent="0.35">
      <c r="A43" t="s">
        <v>143</v>
      </c>
      <c r="B43" t="b">
        <f>OR(B39&gt;=50,B40&gt;=50)</f>
        <v>1</v>
      </c>
      <c r="C43" t="b">
        <f t="shared" ref="C43:F43" si="3">OR(C39&gt;=50,C40&gt;=50)</f>
        <v>1</v>
      </c>
      <c r="D43" t="b">
        <f t="shared" si="3"/>
        <v>0</v>
      </c>
      <c r="E43" t="b">
        <f t="shared" si="3"/>
        <v>1</v>
      </c>
      <c r="F43" t="b">
        <f t="shared" si="3"/>
        <v>1</v>
      </c>
    </row>
    <row r="44" spans="1:6" x14ac:dyDescent="0.35">
      <c r="A44" t="s">
        <v>144</v>
      </c>
      <c r="B44" t="b">
        <f>NOT(B39&gt;50)</f>
        <v>1</v>
      </c>
      <c r="C44" t="b">
        <f t="shared" ref="C44:F44" si="4">NOT(C39&gt;50)</f>
        <v>1</v>
      </c>
      <c r="D44" t="b">
        <f t="shared" si="4"/>
        <v>1</v>
      </c>
      <c r="E44" t="b">
        <f t="shared" si="4"/>
        <v>0</v>
      </c>
      <c r="F44" t="b">
        <f t="shared" si="4"/>
        <v>0</v>
      </c>
    </row>
    <row r="46" spans="1:6" x14ac:dyDescent="0.35">
      <c r="A46" t="s">
        <v>145</v>
      </c>
      <c r="B46">
        <f>IFERROR(B40/B39,0)</f>
        <v>1.4705882352941178</v>
      </c>
      <c r="C46" t="e" cm="1">
        <f t="array" ref="C46">C40/B46C39</f>
        <v>#NAME?</v>
      </c>
    </row>
    <row r="48" spans="1:6" x14ac:dyDescent="0.35">
      <c r="A48" t="s">
        <v>146</v>
      </c>
      <c r="B48" t="e" cm="1">
        <f t="array" ref="B48">_xlfn.IFS(F2&gt;10000,"Very Big",F2&gt;500,"Medium",F2&gt;1000, "Big")</f>
        <v>#N/A</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HR_ANALYTICS_1</vt:lpstr>
      <vt:lpstr>HR_ANALYTICS_2</vt:lpstr>
      <vt:lpstr>HR_ANALYTICS_3</vt:lpstr>
      <vt:lpstr>HR_ANALYTICS_4</vt:lpstr>
      <vt:lpstr>HR_ANALYTICS_5</vt:lpstr>
      <vt:lpstr>FORMULAE_PRACTICE_1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shivkumar matkawala</dc:creator>
  <cp:lastModifiedBy>shivkumar matkawala</cp:lastModifiedBy>
  <dcterms:created xsi:type="dcterms:W3CDTF">2026-08-12T13:49:15Z</dcterms:created>
  <dcterms:modified xsi:type="dcterms:W3CDTF">2026-08-18T15:07:52Z</dcterms:modified>
</cp:coreProperties>
</file>